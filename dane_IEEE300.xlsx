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en_skoroszyt"/>
  <mc:AlternateContent xmlns:mc="http://schemas.openxmlformats.org/markup-compatibility/2006">
    <mc:Choice Requires="x15">
      <x15ac:absPath xmlns:x15ac="http://schemas.microsoft.com/office/spreadsheetml/2010/11/ac" url="N:\ksiz\STUDIA_DOKTORANCKIE\PRZEPIORKA\Modele sieci\Wysokie napiecie\PYTHON\"/>
    </mc:Choice>
  </mc:AlternateContent>
  <xr:revisionPtr revIDLastSave="0" documentId="13_ncr:1_{230A4C87-667F-40D8-A581-B2A60A18027E}" xr6:coauthVersionLast="47" xr6:coauthVersionMax="47" xr10:uidLastSave="{00000000-0000-0000-0000-000000000000}"/>
  <bookViews>
    <workbookView xWindow="43095" yWindow="0" windowWidth="14610" windowHeight="7845" firstSheet="6" activeTab="8" xr2:uid="{00000000-000D-0000-FFFF-FFFF00000000}"/>
  </bookViews>
  <sheets>
    <sheet name="Loads" sheetId="1" r:id="rId1"/>
    <sheet name="Generators" sheetId="2" r:id="rId2"/>
    <sheet name="PV" sheetId="3" r:id="rId3"/>
    <sheet name="StatGen" sheetId="4" r:id="rId4"/>
    <sheet name="ExportConfig" sheetId="5" r:id="rId5"/>
    <sheet name="Rekonfiguracja" sheetId="8" r:id="rId6"/>
    <sheet name="Optymalizacja" sheetId="7" r:id="rId7"/>
    <sheet name="Do podmianki" sheetId="6" r:id="rId8"/>
    <sheet name="Surface2D" sheetId="11" r:id="rId9"/>
    <sheet name="Spis elementów" sheetId="9" r:id="rId10"/>
    <sheet name="Arkusz1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" l="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2" i="11"/>
  <c r="K196" i="11"/>
  <c r="K197" i="11"/>
  <c r="K198" i="11"/>
  <c r="K199" i="11"/>
  <c r="K200" i="11"/>
  <c r="K201" i="11"/>
  <c r="K202" i="11"/>
  <c r="K203" i="11"/>
  <c r="R37" i="11" l="1"/>
  <c r="Q37" i="11"/>
  <c r="I37" i="11"/>
  <c r="H37" i="11"/>
  <c r="G37" i="11"/>
  <c r="E37" i="11"/>
  <c r="D37" i="11"/>
  <c r="C37" i="11"/>
  <c r="B37" i="11"/>
  <c r="R36" i="11"/>
  <c r="Q36" i="11"/>
  <c r="G36" i="11"/>
  <c r="E36" i="11"/>
  <c r="I36" i="11" s="1"/>
  <c r="D36" i="11"/>
  <c r="C36" i="11"/>
  <c r="B36" i="11"/>
  <c r="R35" i="11"/>
  <c r="Q35" i="11"/>
  <c r="G35" i="11"/>
  <c r="E35" i="11"/>
  <c r="I35" i="11" s="1"/>
  <c r="D35" i="11"/>
  <c r="C35" i="11"/>
  <c r="B35" i="11"/>
  <c r="R34" i="11"/>
  <c r="Q34" i="11"/>
  <c r="G34" i="11"/>
  <c r="E34" i="11"/>
  <c r="H34" i="11" s="1"/>
  <c r="D34" i="11"/>
  <c r="C34" i="11"/>
  <c r="B34" i="11"/>
  <c r="R33" i="11"/>
  <c r="Q33" i="11"/>
  <c r="G33" i="11"/>
  <c r="E33" i="11"/>
  <c r="I33" i="11" s="1"/>
  <c r="D33" i="11"/>
  <c r="C33" i="11"/>
  <c r="B33" i="11"/>
  <c r="R32" i="11"/>
  <c r="Q32" i="11"/>
  <c r="G32" i="11"/>
  <c r="E32" i="11"/>
  <c r="I32" i="11" s="1"/>
  <c r="D32" i="11"/>
  <c r="C32" i="11"/>
  <c r="B32" i="11"/>
  <c r="R31" i="11"/>
  <c r="Q31" i="11"/>
  <c r="G31" i="11"/>
  <c r="E31" i="11"/>
  <c r="I31" i="11" s="1"/>
  <c r="D31" i="11"/>
  <c r="C31" i="11"/>
  <c r="B31" i="11"/>
  <c r="R30" i="11"/>
  <c r="Q30" i="11"/>
  <c r="G30" i="11"/>
  <c r="E30" i="11"/>
  <c r="I30" i="11" s="1"/>
  <c r="D30" i="11"/>
  <c r="C30" i="11"/>
  <c r="B30" i="11"/>
  <c r="R29" i="11"/>
  <c r="Q29" i="11"/>
  <c r="G29" i="11"/>
  <c r="E29" i="11"/>
  <c r="I29" i="11" s="1"/>
  <c r="D29" i="11"/>
  <c r="C29" i="11"/>
  <c r="B29" i="11"/>
  <c r="R28" i="11"/>
  <c r="Q28" i="11"/>
  <c r="G28" i="11"/>
  <c r="E28" i="11"/>
  <c r="I28" i="11" s="1"/>
  <c r="D28" i="11"/>
  <c r="C28" i="11"/>
  <c r="B28" i="11"/>
  <c r="R27" i="11"/>
  <c r="Q27" i="11"/>
  <c r="G27" i="11"/>
  <c r="E27" i="11"/>
  <c r="I27" i="11" s="1"/>
  <c r="D27" i="11"/>
  <c r="C27" i="11"/>
  <c r="B27" i="11"/>
  <c r="R26" i="11"/>
  <c r="Q26" i="11"/>
  <c r="G26" i="11"/>
  <c r="E26" i="11"/>
  <c r="I26" i="11" s="1"/>
  <c r="D26" i="11"/>
  <c r="C26" i="11"/>
  <c r="B26" i="11"/>
  <c r="R25" i="11"/>
  <c r="Q25" i="11"/>
  <c r="G25" i="11"/>
  <c r="E25" i="11"/>
  <c r="I25" i="11" s="1"/>
  <c r="D25" i="11"/>
  <c r="C25" i="11"/>
  <c r="B25" i="11"/>
  <c r="R24" i="11"/>
  <c r="Q24" i="11"/>
  <c r="G24" i="11"/>
  <c r="E24" i="11"/>
  <c r="I24" i="11" s="1"/>
  <c r="D24" i="11"/>
  <c r="C24" i="11"/>
  <c r="B24" i="11"/>
  <c r="R23" i="11"/>
  <c r="Q23" i="11"/>
  <c r="G23" i="11"/>
  <c r="E23" i="11"/>
  <c r="I23" i="11" s="1"/>
  <c r="D23" i="11"/>
  <c r="C23" i="11"/>
  <c r="B23" i="11"/>
  <c r="R22" i="11"/>
  <c r="Q22" i="11"/>
  <c r="G22" i="11"/>
  <c r="E22" i="11"/>
  <c r="I22" i="11" s="1"/>
  <c r="D22" i="11"/>
  <c r="C22" i="11"/>
  <c r="B22" i="11"/>
  <c r="R21" i="11"/>
  <c r="Q21" i="11"/>
  <c r="G21" i="11"/>
  <c r="E21" i="11"/>
  <c r="I21" i="11" s="1"/>
  <c r="D21" i="11"/>
  <c r="C21" i="11"/>
  <c r="B21" i="11"/>
  <c r="R20" i="11"/>
  <c r="Q20" i="11"/>
  <c r="G20" i="11"/>
  <c r="E20" i="11"/>
  <c r="I20" i="11" s="1"/>
  <c r="D20" i="11"/>
  <c r="C20" i="11"/>
  <c r="B20" i="11"/>
  <c r="R19" i="11"/>
  <c r="Q19" i="11"/>
  <c r="G19" i="11"/>
  <c r="E19" i="11"/>
  <c r="I19" i="11" s="1"/>
  <c r="D19" i="11"/>
  <c r="C19" i="11"/>
  <c r="B19" i="11"/>
  <c r="R18" i="11"/>
  <c r="Q18" i="11"/>
  <c r="G18" i="11"/>
  <c r="E18" i="11"/>
  <c r="I18" i="11" s="1"/>
  <c r="D18" i="11"/>
  <c r="C18" i="11"/>
  <c r="B18" i="11"/>
  <c r="R17" i="11"/>
  <c r="Q17" i="11"/>
  <c r="G17" i="11"/>
  <c r="E17" i="11"/>
  <c r="I17" i="11" s="1"/>
  <c r="D17" i="11"/>
  <c r="C17" i="11"/>
  <c r="B17" i="11"/>
  <c r="R16" i="11"/>
  <c r="E16" i="11" s="1"/>
  <c r="Q16" i="11"/>
  <c r="G16" i="11"/>
  <c r="C16" i="11"/>
  <c r="B16" i="11"/>
  <c r="R15" i="11"/>
  <c r="Q15" i="11"/>
  <c r="G15" i="11"/>
  <c r="E15" i="11"/>
  <c r="H15" i="11" s="1"/>
  <c r="D15" i="11"/>
  <c r="C15" i="11"/>
  <c r="B15" i="11"/>
  <c r="R14" i="11"/>
  <c r="Q14" i="11"/>
  <c r="G14" i="11"/>
  <c r="E14" i="11"/>
  <c r="I14" i="11" s="1"/>
  <c r="D14" i="11"/>
  <c r="C14" i="11"/>
  <c r="B14" i="11"/>
  <c r="R13" i="11"/>
  <c r="Q13" i="11"/>
  <c r="G13" i="11"/>
  <c r="E13" i="11"/>
  <c r="I13" i="11" s="1"/>
  <c r="D13" i="11"/>
  <c r="C13" i="11"/>
  <c r="B13" i="11"/>
  <c r="R12" i="11"/>
  <c r="Q12" i="11"/>
  <c r="G12" i="11"/>
  <c r="E12" i="11"/>
  <c r="I12" i="11" s="1"/>
  <c r="D12" i="11"/>
  <c r="C12" i="11"/>
  <c r="B12" i="11"/>
  <c r="R11" i="11"/>
  <c r="Q11" i="11"/>
  <c r="G11" i="11"/>
  <c r="E11" i="11"/>
  <c r="I11" i="11" s="1"/>
  <c r="D11" i="11"/>
  <c r="C11" i="11"/>
  <c r="B11" i="11"/>
  <c r="R10" i="11"/>
  <c r="Q10" i="11"/>
  <c r="G10" i="11"/>
  <c r="E10" i="11"/>
  <c r="I10" i="11" s="1"/>
  <c r="D10" i="11"/>
  <c r="H10" i="11" s="1"/>
  <c r="C10" i="11"/>
  <c r="B10" i="11"/>
  <c r="R9" i="11"/>
  <c r="Q9" i="11"/>
  <c r="G9" i="11"/>
  <c r="E9" i="11"/>
  <c r="I9" i="11" s="1"/>
  <c r="D9" i="11"/>
  <c r="H9" i="11" s="1"/>
  <c r="C9" i="11"/>
  <c r="B9" i="11"/>
  <c r="R8" i="11"/>
  <c r="Q8" i="11"/>
  <c r="G8" i="11"/>
  <c r="E8" i="11"/>
  <c r="I8" i="11" s="1"/>
  <c r="D8" i="11"/>
  <c r="H8" i="11" s="1"/>
  <c r="C8" i="11"/>
  <c r="B8" i="11"/>
  <c r="R7" i="11"/>
  <c r="E7" i="11" s="1"/>
  <c r="Q7" i="11"/>
  <c r="G7" i="11"/>
  <c r="C7" i="11"/>
  <c r="B7" i="11"/>
  <c r="R6" i="11"/>
  <c r="E6" i="11" s="1"/>
  <c r="Q6" i="11"/>
  <c r="G6" i="11"/>
  <c r="C6" i="11"/>
  <c r="B6" i="11"/>
  <c r="R5" i="11"/>
  <c r="E5" i="11" s="1"/>
  <c r="Q5" i="11"/>
  <c r="G5" i="11"/>
  <c r="C5" i="11"/>
  <c r="B5" i="11"/>
  <c r="R4" i="11"/>
  <c r="E4" i="11" s="1"/>
  <c r="Q4" i="11"/>
  <c r="G4" i="11"/>
  <c r="C4" i="11"/>
  <c r="B4" i="11"/>
  <c r="R3" i="11"/>
  <c r="E3" i="11" s="1"/>
  <c r="Q3" i="11"/>
  <c r="G3" i="11"/>
  <c r="C3" i="11"/>
  <c r="B3" i="11"/>
  <c r="R2" i="11"/>
  <c r="E2" i="11" s="1"/>
  <c r="Q2" i="11"/>
  <c r="G2" i="11"/>
  <c r="C2" i="11"/>
  <c r="B2" i="11"/>
  <c r="H27" i="11" l="1"/>
  <c r="I15" i="11"/>
  <c r="H22" i="11"/>
  <c r="H30" i="11"/>
  <c r="H25" i="11"/>
  <c r="H33" i="11"/>
  <c r="H23" i="11"/>
  <c r="H26" i="11"/>
  <c r="H17" i="11"/>
  <c r="I5" i="11"/>
  <c r="H5" i="11"/>
  <c r="D5" i="11"/>
  <c r="H20" i="11"/>
  <c r="H29" i="11"/>
  <c r="H32" i="11"/>
  <c r="H21" i="11"/>
  <c r="H24" i="11"/>
  <c r="H19" i="11"/>
  <c r="H28" i="11"/>
  <c r="H31" i="11"/>
  <c r="I34" i="11"/>
  <c r="I6" i="11"/>
  <c r="D6" i="11"/>
  <c r="H6" i="11" s="1"/>
  <c r="I2" i="11"/>
  <c r="H2" i="11"/>
  <c r="D2" i="11"/>
  <c r="H3" i="11"/>
  <c r="D3" i="11"/>
  <c r="I4" i="11"/>
  <c r="H4" i="11"/>
  <c r="D4" i="11"/>
  <c r="H35" i="11"/>
  <c r="H36" i="11"/>
  <c r="H14" i="11"/>
  <c r="H18" i="11"/>
  <c r="H16" i="11"/>
  <c r="D16" i="11"/>
  <c r="I16" i="11"/>
  <c r="I7" i="11"/>
  <c r="H7" i="11"/>
  <c r="D7" i="11"/>
  <c r="H11" i="11"/>
  <c r="I3" i="11"/>
  <c r="H12" i="11"/>
  <c r="H13" i="11"/>
  <c r="B36" i="7" l="1"/>
  <c r="C36" i="7"/>
  <c r="F36" i="7"/>
  <c r="N36" i="7"/>
  <c r="B37" i="7"/>
  <c r="C37" i="7"/>
  <c r="D37" i="7"/>
  <c r="E37" i="7"/>
  <c r="F37" i="7"/>
  <c r="G37" i="7"/>
  <c r="H37" i="7"/>
  <c r="N37" i="7"/>
  <c r="O37" i="7"/>
  <c r="B68" i="2" l="1"/>
  <c r="Q165" i="4" s="1"/>
  <c r="B67" i="2"/>
  <c r="Q164" i="4" s="1"/>
  <c r="B66" i="2"/>
  <c r="Q163" i="4" s="1"/>
  <c r="B65" i="2"/>
  <c r="B64" i="2"/>
  <c r="B161" i="4" s="1"/>
  <c r="B62" i="2"/>
  <c r="B60" i="2"/>
  <c r="B156" i="4" s="1"/>
  <c r="B58" i="2"/>
  <c r="B56" i="2"/>
  <c r="Q152" i="4" s="1"/>
  <c r="B55" i="2"/>
  <c r="Q151" i="4" s="1"/>
  <c r="B54" i="2"/>
  <c r="B150" i="4" s="1"/>
  <c r="N18" i="7" s="1"/>
  <c r="B53" i="2"/>
  <c r="Q148" i="4" s="1"/>
  <c r="B50" i="2"/>
  <c r="B46" i="2"/>
  <c r="B45" i="2"/>
  <c r="B43" i="2"/>
  <c r="B42" i="2"/>
  <c r="B40" i="2"/>
  <c r="B39" i="2"/>
  <c r="Q142" i="4" s="1"/>
  <c r="B38" i="2"/>
  <c r="B37" i="2"/>
  <c r="B36" i="2"/>
  <c r="B35" i="2"/>
  <c r="B34" i="2"/>
  <c r="B33" i="2"/>
  <c r="Q141" i="4" s="1"/>
  <c r="B32" i="2"/>
  <c r="B140" i="4" s="1"/>
  <c r="B31" i="2"/>
  <c r="B30" i="2"/>
  <c r="B29" i="2"/>
  <c r="B28" i="2"/>
  <c r="B27" i="2"/>
  <c r="B26" i="2"/>
  <c r="B25" i="2"/>
  <c r="B24" i="2"/>
  <c r="B23" i="2"/>
  <c r="Q139" i="4" s="1"/>
  <c r="B22" i="2"/>
  <c r="B21" i="2"/>
  <c r="B20" i="2"/>
  <c r="B19" i="2"/>
  <c r="B18" i="2"/>
  <c r="B17" i="2"/>
  <c r="B16" i="2"/>
  <c r="B15" i="2"/>
  <c r="B12" i="2"/>
  <c r="B11" i="2"/>
  <c r="B10" i="2"/>
  <c r="B8" i="2"/>
  <c r="B7" i="2"/>
  <c r="B6" i="2"/>
  <c r="B138" i="4" s="1"/>
  <c r="B5" i="2"/>
  <c r="B137" i="4" s="1"/>
  <c r="N9" i="7" s="1"/>
  <c r="B4" i="2"/>
  <c r="B3" i="2"/>
  <c r="Q136" i="4" s="1"/>
  <c r="B2" i="2"/>
  <c r="Q135" i="4" s="1"/>
  <c r="R165" i="4"/>
  <c r="C165" i="4"/>
  <c r="B165" i="4"/>
  <c r="R164" i="4"/>
  <c r="C164" i="4"/>
  <c r="B164" i="4"/>
  <c r="R163" i="4"/>
  <c r="C163" i="4"/>
  <c r="R162" i="4"/>
  <c r="Q162" i="4"/>
  <c r="C162" i="4"/>
  <c r="B162" i="4"/>
  <c r="R161" i="4"/>
  <c r="C161" i="4"/>
  <c r="R158" i="4"/>
  <c r="Q158" i="4"/>
  <c r="C158" i="4"/>
  <c r="B158" i="4"/>
  <c r="R157" i="4"/>
  <c r="Q157" i="4"/>
  <c r="C157" i="4"/>
  <c r="B157" i="4"/>
  <c r="N23" i="7" s="1"/>
  <c r="R156" i="4"/>
  <c r="Q156" i="4"/>
  <c r="C156" i="4"/>
  <c r="R155" i="4"/>
  <c r="Q155" i="4"/>
  <c r="C155" i="4"/>
  <c r="B155" i="4"/>
  <c r="R154" i="4"/>
  <c r="Q154" i="4"/>
  <c r="C154" i="4"/>
  <c r="B154" i="4"/>
  <c r="R153" i="4"/>
  <c r="Q153" i="4"/>
  <c r="C153" i="4"/>
  <c r="B153" i="4"/>
  <c r="R152" i="4"/>
  <c r="C152" i="4"/>
  <c r="B152" i="4"/>
  <c r="R151" i="4"/>
  <c r="C151" i="4"/>
  <c r="B151" i="4"/>
  <c r="N19" i="7" s="1"/>
  <c r="R150" i="4"/>
  <c r="Q150" i="4"/>
  <c r="C150" i="4"/>
  <c r="R148" i="4"/>
  <c r="C148" i="4"/>
  <c r="R147" i="4"/>
  <c r="Q147" i="4"/>
  <c r="C147" i="4"/>
  <c r="B147" i="4"/>
  <c r="R146" i="4"/>
  <c r="Q146" i="4"/>
  <c r="C146" i="4"/>
  <c r="B146" i="4"/>
  <c r="R145" i="4"/>
  <c r="Q145" i="4"/>
  <c r="C145" i="4"/>
  <c r="B145" i="4"/>
  <c r="R144" i="4"/>
  <c r="Q144" i="4"/>
  <c r="C144" i="4"/>
  <c r="B144" i="4"/>
  <c r="R143" i="4"/>
  <c r="Q143" i="4"/>
  <c r="C143" i="4"/>
  <c r="B143" i="4"/>
  <c r="R142" i="4"/>
  <c r="C142" i="4"/>
  <c r="B142" i="4"/>
  <c r="N14" i="7" s="1"/>
  <c r="R141" i="4"/>
  <c r="C141" i="4"/>
  <c r="R140" i="4"/>
  <c r="C140" i="4"/>
  <c r="R139" i="4"/>
  <c r="C139" i="4"/>
  <c r="R138" i="4"/>
  <c r="C138" i="4"/>
  <c r="R137" i="4"/>
  <c r="C137" i="4"/>
  <c r="R136" i="4"/>
  <c r="C136" i="4"/>
  <c r="R135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B8" i="7"/>
  <c r="C8" i="7"/>
  <c r="F8" i="7"/>
  <c r="B9" i="7"/>
  <c r="C9" i="7"/>
  <c r="F9" i="7"/>
  <c r="O9" i="7"/>
  <c r="E9" i="7" s="1"/>
  <c r="B10" i="7"/>
  <c r="C10" i="7"/>
  <c r="F10" i="7"/>
  <c r="N10" i="7"/>
  <c r="O10" i="7"/>
  <c r="E10" i="7" s="1"/>
  <c r="B11" i="7"/>
  <c r="C11" i="7"/>
  <c r="F11" i="7"/>
  <c r="O11" i="7"/>
  <c r="E11" i="7" s="1"/>
  <c r="B12" i="7"/>
  <c r="C12" i="7"/>
  <c r="D12" i="7"/>
  <c r="E12" i="7"/>
  <c r="H12" i="7" s="1"/>
  <c r="F12" i="7"/>
  <c r="N12" i="7"/>
  <c r="O12" i="7"/>
  <c r="B13" i="7"/>
  <c r="C13" i="7"/>
  <c r="F13" i="7"/>
  <c r="O13" i="7"/>
  <c r="E13" i="7" s="1"/>
  <c r="B14" i="7"/>
  <c r="C14" i="7"/>
  <c r="F14" i="7"/>
  <c r="O14" i="7"/>
  <c r="E14" i="7" s="1"/>
  <c r="B15" i="7"/>
  <c r="C15" i="7"/>
  <c r="F15" i="7"/>
  <c r="N15" i="7"/>
  <c r="B16" i="7"/>
  <c r="C16" i="7"/>
  <c r="F16" i="7"/>
  <c r="O16" i="7"/>
  <c r="E16" i="7" s="1"/>
  <c r="D16" i="7" s="1"/>
  <c r="B17" i="7"/>
  <c r="C17" i="7"/>
  <c r="D17" i="7"/>
  <c r="E17" i="7"/>
  <c r="G17" i="7" s="1"/>
  <c r="F17" i="7"/>
  <c r="N17" i="7"/>
  <c r="O17" i="7"/>
  <c r="B18" i="7"/>
  <c r="C18" i="7"/>
  <c r="D18" i="7"/>
  <c r="E18" i="7"/>
  <c r="H18" i="7" s="1"/>
  <c r="F18" i="7"/>
  <c r="O18" i="7"/>
  <c r="B19" i="7"/>
  <c r="C19" i="7"/>
  <c r="D19" i="7"/>
  <c r="E19" i="7"/>
  <c r="H19" i="7" s="1"/>
  <c r="F19" i="7"/>
  <c r="O19" i="7"/>
  <c r="B20" i="7"/>
  <c r="C20" i="7"/>
  <c r="D20" i="7"/>
  <c r="E20" i="7"/>
  <c r="G20" i="7" s="1"/>
  <c r="F20" i="7"/>
  <c r="N20" i="7"/>
  <c r="O20" i="7"/>
  <c r="B21" i="7"/>
  <c r="C21" i="7"/>
  <c r="D21" i="7"/>
  <c r="E21" i="7"/>
  <c r="H21" i="7" s="1"/>
  <c r="F21" i="7"/>
  <c r="N21" i="7"/>
  <c r="O21" i="7"/>
  <c r="B22" i="7"/>
  <c r="C22" i="7"/>
  <c r="D22" i="7"/>
  <c r="E22" i="7"/>
  <c r="G22" i="7" s="1"/>
  <c r="F22" i="7"/>
  <c r="N22" i="7"/>
  <c r="O22" i="7"/>
  <c r="B23" i="7"/>
  <c r="C23" i="7"/>
  <c r="D23" i="7"/>
  <c r="E23" i="7"/>
  <c r="H23" i="7" s="1"/>
  <c r="F23" i="7"/>
  <c r="O23" i="7"/>
  <c r="B24" i="7"/>
  <c r="C24" i="7"/>
  <c r="D24" i="7"/>
  <c r="E24" i="7"/>
  <c r="H24" i="7" s="1"/>
  <c r="F24" i="7"/>
  <c r="N24" i="7"/>
  <c r="O24" i="7"/>
  <c r="B25" i="7"/>
  <c r="C25" i="7"/>
  <c r="D25" i="7"/>
  <c r="E25" i="7"/>
  <c r="H25" i="7" s="1"/>
  <c r="F25" i="7"/>
  <c r="N25" i="7"/>
  <c r="O25" i="7"/>
  <c r="B26" i="7"/>
  <c r="C26" i="7"/>
  <c r="D26" i="7"/>
  <c r="E26" i="7"/>
  <c r="G26" i="7" s="1"/>
  <c r="F26" i="7"/>
  <c r="N26" i="7"/>
  <c r="O26" i="7"/>
  <c r="B27" i="7"/>
  <c r="C27" i="7"/>
  <c r="D27" i="7"/>
  <c r="E27" i="7"/>
  <c r="H27" i="7" s="1"/>
  <c r="F27" i="7"/>
  <c r="N27" i="7"/>
  <c r="O27" i="7"/>
  <c r="B28" i="7"/>
  <c r="C28" i="7"/>
  <c r="D28" i="7"/>
  <c r="E28" i="7"/>
  <c r="G28" i="7" s="1"/>
  <c r="F28" i="7"/>
  <c r="O28" i="7"/>
  <c r="B29" i="7"/>
  <c r="C29" i="7"/>
  <c r="D29" i="7"/>
  <c r="E29" i="7"/>
  <c r="H29" i="7" s="1"/>
  <c r="F29" i="7"/>
  <c r="N29" i="7"/>
  <c r="O29" i="7"/>
  <c r="B30" i="7"/>
  <c r="C30" i="7"/>
  <c r="D30" i="7"/>
  <c r="E30" i="7"/>
  <c r="H30" i="7" s="1"/>
  <c r="F30" i="7"/>
  <c r="N30" i="7"/>
  <c r="O30" i="7"/>
  <c r="B31" i="7"/>
  <c r="C31" i="7"/>
  <c r="F31" i="7"/>
  <c r="N31" i="7"/>
  <c r="B32" i="7"/>
  <c r="C32" i="7"/>
  <c r="F32" i="7"/>
  <c r="N32" i="7"/>
  <c r="B33" i="7"/>
  <c r="C33" i="7"/>
  <c r="F33" i="7"/>
  <c r="N33" i="7"/>
  <c r="B34" i="7"/>
  <c r="C34" i="7"/>
  <c r="F34" i="7"/>
  <c r="N34" i="7"/>
  <c r="B35" i="7"/>
  <c r="C35" i="7"/>
  <c r="F35" i="7"/>
  <c r="N35" i="7"/>
  <c r="O4" i="7"/>
  <c r="E4" i="7" s="1"/>
  <c r="N5" i="7"/>
  <c r="N2" i="7"/>
  <c r="B3" i="7"/>
  <c r="C3" i="7"/>
  <c r="F3" i="7"/>
  <c r="B4" i="7"/>
  <c r="C4" i="7"/>
  <c r="F4" i="7"/>
  <c r="B5" i="7"/>
  <c r="C5" i="7"/>
  <c r="F5" i="7"/>
  <c r="B6" i="7"/>
  <c r="C6" i="7"/>
  <c r="F6" i="7"/>
  <c r="B7" i="7"/>
  <c r="C7" i="7"/>
  <c r="F7" i="7"/>
  <c r="F2" i="7"/>
  <c r="C2" i="7"/>
  <c r="B2" i="7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O31" i="7" s="1"/>
  <c r="E31" i="7" s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O32" i="7" s="1"/>
  <c r="E32" i="7" s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O33" i="7" s="1"/>
  <c r="E33" i="7" s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O34" i="7" s="1"/>
  <c r="E34" i="7" s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O2" i="7" s="1"/>
  <c r="E2" i="7" s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O6" i="7" s="1"/>
  <c r="E6" i="7" s="1"/>
  <c r="C190" i="1"/>
  <c r="B191" i="1"/>
  <c r="C191" i="1"/>
  <c r="B192" i="1"/>
  <c r="C192" i="1"/>
  <c r="B193" i="1"/>
  <c r="C193" i="1"/>
  <c r="C2" i="1"/>
  <c r="B2" i="1"/>
  <c r="H20" i="7" l="1"/>
  <c r="G29" i="7"/>
  <c r="G11" i="7"/>
  <c r="D11" i="7"/>
  <c r="O15" i="7"/>
  <c r="E15" i="7" s="1"/>
  <c r="D15" i="7" s="1"/>
  <c r="O8" i="7"/>
  <c r="E8" i="7" s="1"/>
  <c r="G16" i="7"/>
  <c r="H11" i="7"/>
  <c r="D6" i="7"/>
  <c r="G6" i="7" s="1"/>
  <c r="H6" i="7"/>
  <c r="H26" i="7"/>
  <c r="G30" i="7"/>
  <c r="H16" i="7"/>
  <c r="G18" i="7"/>
  <c r="O35" i="7"/>
  <c r="E35" i="7" s="1"/>
  <c r="D35" i="7" s="1"/>
  <c r="Q137" i="4"/>
  <c r="G27" i="7"/>
  <c r="Q140" i="4"/>
  <c r="O5" i="7"/>
  <c r="E5" i="7" s="1"/>
  <c r="H5" i="7" s="1"/>
  <c r="O36" i="7"/>
  <c r="E36" i="7" s="1"/>
  <c r="H28" i="7"/>
  <c r="H22" i="7"/>
  <c r="G25" i="7"/>
  <c r="G19" i="7"/>
  <c r="G24" i="7"/>
  <c r="G21" i="7"/>
  <c r="D32" i="7"/>
  <c r="G32" i="7"/>
  <c r="H32" i="7"/>
  <c r="H31" i="7"/>
  <c r="D31" i="7"/>
  <c r="G31" i="7"/>
  <c r="G33" i="7"/>
  <c r="D33" i="7"/>
  <c r="H33" i="7"/>
  <c r="H34" i="7"/>
  <c r="G34" i="7"/>
  <c r="D34" i="7"/>
  <c r="G23" i="7"/>
  <c r="H17" i="7"/>
  <c r="G12" i="7"/>
  <c r="D10" i="7"/>
  <c r="G10" i="7" s="1"/>
  <c r="G9" i="7"/>
  <c r="D9" i="7"/>
  <c r="N4" i="7"/>
  <c r="Q138" i="4"/>
  <c r="O3" i="7"/>
  <c r="E3" i="7" s="1"/>
  <c r="D3" i="7" s="1"/>
  <c r="G3" i="7" s="1"/>
  <c r="H13" i="7"/>
  <c r="G13" i="7"/>
  <c r="D13" i="7"/>
  <c r="H9" i="7"/>
  <c r="G14" i="7"/>
  <c r="H14" i="7"/>
  <c r="D14" i="7"/>
  <c r="H10" i="7"/>
  <c r="B141" i="4"/>
  <c r="N13" i="7" s="1"/>
  <c r="B163" i="4"/>
  <c r="N28" i="7" s="1"/>
  <c r="B148" i="4"/>
  <c r="B136" i="4"/>
  <c r="N8" i="7" s="1"/>
  <c r="B139" i="4"/>
  <c r="N11" i="7" s="1"/>
  <c r="O7" i="7"/>
  <c r="E7" i="7" s="1"/>
  <c r="H7" i="7" s="1"/>
  <c r="N6" i="7"/>
  <c r="H2" i="7"/>
  <c r="D2" i="7"/>
  <c r="G2" i="7" s="1"/>
  <c r="D5" i="7"/>
  <c r="H4" i="7"/>
  <c r="D4" i="7"/>
  <c r="G4" i="7" s="1"/>
  <c r="Q161" i="4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2" i="8"/>
  <c r="H15" i="7" l="1"/>
  <c r="G15" i="7"/>
  <c r="D8" i="7"/>
  <c r="G8" i="7" s="1"/>
  <c r="H8" i="7"/>
  <c r="N16" i="7"/>
  <c r="N7" i="7"/>
  <c r="N3" i="7"/>
  <c r="G5" i="7"/>
  <c r="D36" i="7"/>
  <c r="G36" i="7"/>
  <c r="H36" i="7"/>
  <c r="G35" i="7"/>
  <c r="H35" i="7"/>
  <c r="H3" i="7"/>
  <c r="D7" i="7"/>
  <c r="G7" i="7" s="1"/>
  <c r="B2" i="8"/>
  <c r="D2" i="8"/>
  <c r="A393" i="9"/>
  <c r="C393" i="9"/>
  <c r="A394" i="9"/>
  <c r="C394" i="9"/>
  <c r="A395" i="9"/>
  <c r="C395" i="9"/>
  <c r="A396" i="9"/>
  <c r="C396" i="9"/>
  <c r="A397" i="9"/>
  <c r="C397" i="9"/>
  <c r="A398" i="9"/>
  <c r="C398" i="9"/>
  <c r="A399" i="9"/>
  <c r="C399" i="9"/>
  <c r="A400" i="9"/>
  <c r="C400" i="9"/>
  <c r="A401" i="9"/>
  <c r="C401" i="9"/>
  <c r="A402" i="9"/>
  <c r="C402" i="9"/>
  <c r="A403" i="9"/>
  <c r="C403" i="9"/>
  <c r="A404" i="9"/>
  <c r="C404" i="9"/>
  <c r="A405" i="9"/>
  <c r="C405" i="9"/>
  <c r="A406" i="9"/>
  <c r="C406" i="9"/>
  <c r="A407" i="9"/>
  <c r="C407" i="9"/>
  <c r="A408" i="9"/>
  <c r="C408" i="9"/>
  <c r="A409" i="9"/>
  <c r="C409" i="9"/>
  <c r="A410" i="9"/>
  <c r="C410" i="9"/>
  <c r="A411" i="9"/>
  <c r="C411" i="9"/>
  <c r="A412" i="9"/>
  <c r="C412" i="9"/>
  <c r="A413" i="9"/>
  <c r="C413" i="9"/>
  <c r="A414" i="9"/>
  <c r="C414" i="9"/>
  <c r="A415" i="9"/>
  <c r="C415" i="9"/>
  <c r="A416" i="9"/>
  <c r="C416" i="9"/>
  <c r="A417" i="9"/>
  <c r="C417" i="9"/>
  <c r="A418" i="9"/>
  <c r="C418" i="9"/>
  <c r="A419" i="9"/>
  <c r="C419" i="9"/>
  <c r="A420" i="9"/>
  <c r="C420" i="9"/>
  <c r="A421" i="9"/>
  <c r="C421" i="9"/>
  <c r="A422" i="9"/>
  <c r="C422" i="9"/>
  <c r="A423" i="9"/>
  <c r="C423" i="9"/>
  <c r="A424" i="9"/>
  <c r="C424" i="9"/>
  <c r="A425" i="9"/>
  <c r="C425" i="9"/>
  <c r="A426" i="9"/>
  <c r="C426" i="9"/>
  <c r="A427" i="9"/>
  <c r="C427" i="9"/>
  <c r="A428" i="9"/>
  <c r="C428" i="9"/>
  <c r="A429" i="9"/>
  <c r="C429" i="9"/>
  <c r="A430" i="9"/>
  <c r="C430" i="9"/>
  <c r="A431" i="9"/>
  <c r="C431" i="9"/>
  <c r="A432" i="9"/>
  <c r="C432" i="9"/>
  <c r="A433" i="9"/>
  <c r="C433" i="9"/>
  <c r="A434" i="9"/>
  <c r="C434" i="9"/>
  <c r="A435" i="9"/>
  <c r="C435" i="9"/>
  <c r="A436" i="9"/>
  <c r="C436" i="9"/>
  <c r="A437" i="9"/>
  <c r="C437" i="9"/>
  <c r="A438" i="9"/>
  <c r="C438" i="9"/>
  <c r="A439" i="9"/>
  <c r="C439" i="9"/>
  <c r="A440" i="9"/>
  <c r="C440" i="9"/>
  <c r="A441" i="9"/>
  <c r="C441" i="9"/>
  <c r="A442" i="9"/>
  <c r="C442" i="9"/>
  <c r="A443" i="9"/>
  <c r="C443" i="9"/>
  <c r="A444" i="9"/>
  <c r="C444" i="9"/>
  <c r="A445" i="9"/>
  <c r="C445" i="9"/>
  <c r="A446" i="9"/>
  <c r="C446" i="9"/>
  <c r="A447" i="9"/>
  <c r="C447" i="9"/>
  <c r="A448" i="9"/>
  <c r="C448" i="9"/>
  <c r="A449" i="9"/>
  <c r="C449" i="9"/>
  <c r="A450" i="9"/>
  <c r="C450" i="9"/>
  <c r="A451" i="9"/>
  <c r="C451" i="9"/>
  <c r="A452" i="9"/>
  <c r="C452" i="9"/>
  <c r="A453" i="9"/>
  <c r="C453" i="9"/>
  <c r="A454" i="9"/>
  <c r="C454" i="9"/>
  <c r="A455" i="9"/>
  <c r="C455" i="9"/>
  <c r="A456" i="9"/>
  <c r="C456" i="9"/>
  <c r="A457" i="9"/>
  <c r="C457" i="9"/>
  <c r="A458" i="9"/>
  <c r="C458" i="9"/>
  <c r="A459" i="9"/>
  <c r="C459" i="9"/>
  <c r="A460" i="9"/>
  <c r="C460" i="9"/>
  <c r="A461" i="9"/>
  <c r="C461" i="9"/>
  <c r="A462" i="9"/>
  <c r="C462" i="9"/>
  <c r="A463" i="9"/>
  <c r="C463" i="9"/>
  <c r="A464" i="9"/>
  <c r="C464" i="9"/>
  <c r="A465" i="9"/>
  <c r="C465" i="9"/>
  <c r="A466" i="9"/>
  <c r="C466" i="9"/>
  <c r="A467" i="9"/>
  <c r="C467" i="9"/>
  <c r="A468" i="9"/>
  <c r="C468" i="9"/>
  <c r="A469" i="9"/>
  <c r="C469" i="9"/>
  <c r="A470" i="9"/>
  <c r="C470" i="9"/>
  <c r="A471" i="9"/>
  <c r="C471" i="9"/>
  <c r="A472" i="9"/>
  <c r="C472" i="9"/>
  <c r="A473" i="9"/>
  <c r="C473" i="9"/>
  <c r="A474" i="9"/>
  <c r="C474" i="9"/>
  <c r="A475" i="9"/>
  <c r="C475" i="9"/>
  <c r="A476" i="9"/>
  <c r="C476" i="9"/>
  <c r="A477" i="9"/>
  <c r="C477" i="9"/>
  <c r="A478" i="9"/>
  <c r="C478" i="9"/>
  <c r="A479" i="9"/>
  <c r="C479" i="9"/>
  <c r="A480" i="9"/>
  <c r="C480" i="9"/>
  <c r="A481" i="9"/>
  <c r="C481" i="9"/>
  <c r="A482" i="9"/>
  <c r="C482" i="9"/>
  <c r="A483" i="9"/>
  <c r="C483" i="9"/>
  <c r="A484" i="9"/>
  <c r="C484" i="9"/>
  <c r="A485" i="9"/>
  <c r="C485" i="9"/>
  <c r="A486" i="9"/>
  <c r="C486" i="9"/>
  <c r="A487" i="9"/>
  <c r="C487" i="9"/>
  <c r="A488" i="9"/>
  <c r="C488" i="9"/>
  <c r="A489" i="9"/>
  <c r="C489" i="9"/>
  <c r="A490" i="9"/>
  <c r="C490" i="9"/>
  <c r="A491" i="9"/>
  <c r="C491" i="9"/>
  <c r="A492" i="9"/>
  <c r="C492" i="9"/>
  <c r="A493" i="9"/>
  <c r="C493" i="9"/>
  <c r="A494" i="9"/>
  <c r="C494" i="9"/>
  <c r="A495" i="9"/>
  <c r="C495" i="9"/>
  <c r="A496" i="9"/>
  <c r="C496" i="9"/>
  <c r="A497" i="9"/>
  <c r="C497" i="9"/>
  <c r="A498" i="9"/>
  <c r="C498" i="9"/>
  <c r="C392" i="9"/>
  <c r="A392" i="9"/>
  <c r="A388" i="9"/>
  <c r="A389" i="9"/>
  <c r="A390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260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194" i="9"/>
  <c r="A190" i="9"/>
  <c r="A191" i="9"/>
  <c r="A192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260" i="9"/>
  <c r="C195" i="9"/>
  <c r="M2" i="9" s="1"/>
  <c r="P2" i="9" s="1"/>
  <c r="C196" i="9"/>
  <c r="C197" i="9"/>
  <c r="M3" i="9" s="1"/>
  <c r="P3" i="9" s="1"/>
  <c r="C198" i="9"/>
  <c r="M4" i="9" s="1"/>
  <c r="P4" i="9" s="1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M7" i="9" s="1"/>
  <c r="P7" i="9" s="1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M18" i="9" s="1"/>
  <c r="P18" i="9" s="1"/>
  <c r="C249" i="9"/>
  <c r="M19" i="9" s="1"/>
  <c r="P19" i="9" s="1"/>
  <c r="C250" i="9"/>
  <c r="M20" i="9" s="1"/>
  <c r="P20" i="9" s="1"/>
  <c r="C251" i="9"/>
  <c r="C252" i="9"/>
  <c r="C253" i="9"/>
  <c r="C254" i="9"/>
  <c r="C255" i="9"/>
  <c r="C256" i="9"/>
  <c r="C257" i="9"/>
  <c r="C258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M32" i="9" s="1"/>
  <c r="P32" i="9" s="1"/>
  <c r="C19" i="9"/>
  <c r="C20" i="9"/>
  <c r="C21" i="9"/>
  <c r="C22" i="9"/>
  <c r="C23" i="9"/>
  <c r="C24" i="9"/>
  <c r="C25" i="9"/>
  <c r="C26" i="9"/>
  <c r="C27" i="9"/>
  <c r="M33" i="9" s="1"/>
  <c r="P33" i="9" s="1"/>
  <c r="C28" i="9"/>
  <c r="M34" i="9" s="1"/>
  <c r="P34" i="9" s="1"/>
  <c r="C29" i="9"/>
  <c r="C30" i="9"/>
  <c r="M35" i="9" s="1"/>
  <c r="P35" i="9" s="1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" i="9"/>
  <c r="M16" i="9" l="1"/>
  <c r="P16" i="9" s="1"/>
  <c r="M12" i="9"/>
  <c r="P12" i="9" s="1"/>
  <c r="M17" i="9"/>
  <c r="P17" i="9" s="1"/>
  <c r="M8" i="9"/>
  <c r="P8" i="9" s="1"/>
  <c r="M21" i="9"/>
  <c r="P21" i="9" s="1"/>
  <c r="M6" i="9"/>
  <c r="P6" i="9" s="1"/>
  <c r="M30" i="9"/>
  <c r="P30" i="9" s="1"/>
  <c r="M14" i="9"/>
  <c r="P14" i="9" s="1"/>
  <c r="M29" i="9"/>
  <c r="P29" i="9" s="1"/>
  <c r="M15" i="9"/>
  <c r="P15" i="9" s="1"/>
  <c r="M11" i="9"/>
  <c r="P11" i="9" s="1"/>
  <c r="M13" i="9"/>
  <c r="P13" i="9" s="1"/>
  <c r="M10" i="9"/>
  <c r="P10" i="9" s="1"/>
  <c r="M5" i="9"/>
  <c r="P5" i="9" s="1"/>
  <c r="M31" i="9"/>
  <c r="P31" i="9" s="1"/>
  <c r="M28" i="9"/>
  <c r="P28" i="9" s="1"/>
  <c r="M9" i="9"/>
  <c r="P9" i="9" s="1"/>
  <c r="M27" i="9"/>
  <c r="P27" i="9" s="1"/>
  <c r="M26" i="9"/>
  <c r="P26" i="9" s="1"/>
  <c r="M25" i="9"/>
  <c r="P25" i="9" s="1"/>
  <c r="M23" i="9"/>
  <c r="P23" i="9" s="1"/>
  <c r="M24" i="9"/>
  <c r="P24" i="9" s="1"/>
  <c r="M22" i="9"/>
  <c r="P22" i="9" s="1"/>
  <c r="C194" i="9"/>
  <c r="M1" i="9" s="1"/>
  <c r="P1" i="9" s="1"/>
  <c r="C8" i="8"/>
  <c r="D8" i="8"/>
  <c r="B9" i="8"/>
  <c r="C9" i="8"/>
  <c r="D9" i="8"/>
  <c r="B10" i="8"/>
  <c r="C10" i="8"/>
  <c r="D10" i="8"/>
  <c r="B11" i="8"/>
  <c r="C11" i="8"/>
  <c r="D11" i="8"/>
  <c r="B12" i="8"/>
  <c r="C12" i="8"/>
  <c r="D12" i="8"/>
  <c r="B13" i="8"/>
  <c r="C13" i="8"/>
  <c r="D13" i="8"/>
  <c r="B14" i="8"/>
  <c r="C14" i="8"/>
  <c r="D14" i="8"/>
  <c r="C15" i="8"/>
  <c r="D15" i="8"/>
  <c r="B16" i="8"/>
  <c r="D16" i="8"/>
  <c r="B17" i="8"/>
  <c r="D17" i="8"/>
  <c r="B18" i="8"/>
  <c r="C18" i="8"/>
  <c r="D18" i="8"/>
  <c r="D3" i="8"/>
  <c r="D4" i="8"/>
  <c r="D5" i="8"/>
  <c r="D6" i="8"/>
  <c r="D7" i="8"/>
  <c r="C3" i="8"/>
  <c r="C4" i="8"/>
  <c r="C5" i="8"/>
  <c r="C6" i="8"/>
  <c r="C7" i="8"/>
  <c r="C2" i="8"/>
  <c r="B3" i="8"/>
  <c r="B4" i="8"/>
  <c r="B5" i="8"/>
  <c r="B6" i="8"/>
  <c r="B7" i="8"/>
  <c r="B194" i="9"/>
  <c r="B24" i="8" l="1"/>
  <c r="C32" i="8"/>
  <c r="B32" i="8"/>
  <c r="C23" i="8"/>
  <c r="D26" i="8"/>
  <c r="D23" i="8"/>
  <c r="D31" i="8"/>
  <c r="C31" i="8"/>
  <c r="B35" i="8"/>
  <c r="C34" i="8"/>
  <c r="B26" i="8"/>
  <c r="D22" i="8"/>
  <c r="D30" i="8"/>
  <c r="C22" i="8"/>
  <c r="D38" i="8"/>
  <c r="C30" i="8"/>
  <c r="B22" i="8"/>
  <c r="C38" i="8"/>
  <c r="B30" i="8"/>
  <c r="D21" i="8"/>
  <c r="B38" i="8"/>
  <c r="D29" i="8"/>
  <c r="C21" i="8"/>
  <c r="D37" i="8"/>
  <c r="C29" i="8"/>
  <c r="B21" i="8"/>
  <c r="C37" i="8"/>
  <c r="B29" i="8"/>
  <c r="D20" i="8"/>
  <c r="B37" i="8"/>
  <c r="D28" i="8"/>
  <c r="C20" i="8"/>
  <c r="D36" i="8"/>
  <c r="C28" i="8"/>
  <c r="B20" i="8"/>
  <c r="D32" i="8"/>
  <c r="C24" i="8"/>
  <c r="B28" i="8"/>
  <c r="C36" i="8"/>
  <c r="D19" i="8"/>
  <c r="B36" i="8"/>
  <c r="D27" i="8"/>
  <c r="C19" i="8"/>
  <c r="D35" i="8"/>
  <c r="C27" i="8"/>
  <c r="B19" i="8"/>
  <c r="C35" i="8"/>
  <c r="B27" i="8"/>
  <c r="D34" i="8"/>
  <c r="C26" i="8"/>
  <c r="B34" i="8"/>
  <c r="D25" i="8"/>
  <c r="C17" i="8"/>
  <c r="D33" i="8"/>
  <c r="C25" i="8"/>
  <c r="C33" i="8"/>
  <c r="B25" i="8"/>
  <c r="B33" i="8"/>
  <c r="D24" i="8"/>
  <c r="C16" i="8"/>
  <c r="B8" i="8"/>
  <c r="B39" i="8"/>
  <c r="C39" i="8"/>
  <c r="D39" i="8"/>
  <c r="B31" i="8"/>
  <c r="B23" i="8"/>
  <c r="B15" i="8"/>
  <c r="C40" i="8" l="1"/>
  <c r="B40" i="8"/>
  <c r="D40" i="8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L29" i="9" s="1"/>
  <c r="O29" i="9" s="1"/>
  <c r="B370" i="9"/>
  <c r="B371" i="9"/>
  <c r="B372" i="9"/>
  <c r="L30" i="9" s="1"/>
  <c r="O30" i="9" s="1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L28" i="9" s="1"/>
  <c r="O28" i="9" s="1"/>
  <c r="B386" i="9"/>
  <c r="B387" i="9"/>
  <c r="L31" i="9" s="1"/>
  <c r="O31" i="9" s="1"/>
  <c r="B388" i="9"/>
  <c r="B389" i="9"/>
  <c r="B390" i="9"/>
  <c r="B260" i="9"/>
  <c r="B3" i="3"/>
  <c r="B393" i="9" s="1"/>
  <c r="B4" i="3"/>
  <c r="B394" i="9" s="1"/>
  <c r="B5" i="3"/>
  <c r="B395" i="9" s="1"/>
  <c r="B6" i="3"/>
  <c r="B396" i="9" s="1"/>
  <c r="B7" i="3"/>
  <c r="B397" i="9" s="1"/>
  <c r="B8" i="3"/>
  <c r="B398" i="9" s="1"/>
  <c r="B9" i="3"/>
  <c r="B399" i="9" s="1"/>
  <c r="B10" i="3"/>
  <c r="B400" i="9" s="1"/>
  <c r="B11" i="3"/>
  <c r="B401" i="9" s="1"/>
  <c r="B12" i="3"/>
  <c r="B402" i="9" s="1"/>
  <c r="B13" i="3"/>
  <c r="B403" i="9" s="1"/>
  <c r="B14" i="3"/>
  <c r="B404" i="9" s="1"/>
  <c r="B15" i="3"/>
  <c r="B405" i="9" s="1"/>
  <c r="B16" i="3"/>
  <c r="B406" i="9" s="1"/>
  <c r="B17" i="3"/>
  <c r="B407" i="9" s="1"/>
  <c r="B18" i="3"/>
  <c r="B408" i="9" s="1"/>
  <c r="B19" i="3"/>
  <c r="B409" i="9" s="1"/>
  <c r="B20" i="3"/>
  <c r="B410" i="9" s="1"/>
  <c r="B21" i="3"/>
  <c r="B411" i="9" s="1"/>
  <c r="B22" i="3"/>
  <c r="B412" i="9" s="1"/>
  <c r="B23" i="3"/>
  <c r="B413" i="9" s="1"/>
  <c r="B24" i="3"/>
  <c r="B414" i="9" s="1"/>
  <c r="B25" i="3"/>
  <c r="B415" i="9" s="1"/>
  <c r="B26" i="3"/>
  <c r="B416" i="9" s="1"/>
  <c r="B27" i="3"/>
  <c r="B417" i="9" s="1"/>
  <c r="B28" i="3"/>
  <c r="B418" i="9" s="1"/>
  <c r="B29" i="3"/>
  <c r="B419" i="9" s="1"/>
  <c r="B30" i="3"/>
  <c r="B420" i="9" s="1"/>
  <c r="B31" i="3"/>
  <c r="B421" i="9" s="1"/>
  <c r="B32" i="3"/>
  <c r="B422" i="9" s="1"/>
  <c r="B33" i="3"/>
  <c r="B423" i="9" s="1"/>
  <c r="B34" i="3"/>
  <c r="B424" i="9" s="1"/>
  <c r="B35" i="3"/>
  <c r="B425" i="9" s="1"/>
  <c r="B36" i="3"/>
  <c r="B426" i="9" s="1"/>
  <c r="B37" i="3"/>
  <c r="B427" i="9" s="1"/>
  <c r="B38" i="3"/>
  <c r="B428" i="9" s="1"/>
  <c r="B39" i="3"/>
  <c r="B429" i="9" s="1"/>
  <c r="B40" i="3"/>
  <c r="B430" i="9" s="1"/>
  <c r="B41" i="3"/>
  <c r="B431" i="9" s="1"/>
  <c r="B42" i="3"/>
  <c r="B432" i="9" s="1"/>
  <c r="B43" i="3"/>
  <c r="B433" i="9" s="1"/>
  <c r="B44" i="3"/>
  <c r="B434" i="9" s="1"/>
  <c r="B45" i="3"/>
  <c r="B435" i="9" s="1"/>
  <c r="B46" i="3"/>
  <c r="B436" i="9" s="1"/>
  <c r="B47" i="3"/>
  <c r="B437" i="9" s="1"/>
  <c r="B48" i="3"/>
  <c r="B438" i="9" s="1"/>
  <c r="B49" i="3"/>
  <c r="B439" i="9" s="1"/>
  <c r="B50" i="3"/>
  <c r="B440" i="9" s="1"/>
  <c r="B51" i="3"/>
  <c r="B441" i="9" s="1"/>
  <c r="B52" i="3"/>
  <c r="B442" i="9" s="1"/>
  <c r="B53" i="3"/>
  <c r="B443" i="9" s="1"/>
  <c r="B54" i="3"/>
  <c r="B444" i="9" s="1"/>
  <c r="B55" i="3"/>
  <c r="B445" i="9" s="1"/>
  <c r="B56" i="3"/>
  <c r="B446" i="9" s="1"/>
  <c r="B57" i="3"/>
  <c r="B447" i="9" s="1"/>
  <c r="B58" i="3"/>
  <c r="B448" i="9" s="1"/>
  <c r="B59" i="3"/>
  <c r="B449" i="9" s="1"/>
  <c r="B60" i="3"/>
  <c r="B450" i="9" s="1"/>
  <c r="B61" i="3"/>
  <c r="B451" i="9" s="1"/>
  <c r="B62" i="3"/>
  <c r="B452" i="9" s="1"/>
  <c r="B63" i="3"/>
  <c r="B453" i="9" s="1"/>
  <c r="B64" i="3"/>
  <c r="B454" i="9" s="1"/>
  <c r="B65" i="3"/>
  <c r="B455" i="9" s="1"/>
  <c r="B66" i="3"/>
  <c r="B456" i="9" s="1"/>
  <c r="B67" i="3"/>
  <c r="B457" i="9" s="1"/>
  <c r="B68" i="3"/>
  <c r="B458" i="9" s="1"/>
  <c r="B69" i="3"/>
  <c r="B459" i="9" s="1"/>
  <c r="B70" i="3"/>
  <c r="B460" i="9" s="1"/>
  <c r="B71" i="3"/>
  <c r="B461" i="9" s="1"/>
  <c r="B72" i="3"/>
  <c r="B462" i="9" s="1"/>
  <c r="B73" i="3"/>
  <c r="B463" i="9" s="1"/>
  <c r="B74" i="3"/>
  <c r="B464" i="9" s="1"/>
  <c r="B75" i="3"/>
  <c r="B465" i="9" s="1"/>
  <c r="B76" i="3"/>
  <c r="B466" i="9" s="1"/>
  <c r="B77" i="3"/>
  <c r="B467" i="9" s="1"/>
  <c r="B78" i="3"/>
  <c r="B468" i="9" s="1"/>
  <c r="B79" i="3"/>
  <c r="B469" i="9" s="1"/>
  <c r="B80" i="3"/>
  <c r="B470" i="9" s="1"/>
  <c r="B81" i="3"/>
  <c r="B471" i="9" s="1"/>
  <c r="B82" i="3"/>
  <c r="B472" i="9" s="1"/>
  <c r="B83" i="3"/>
  <c r="B473" i="9" s="1"/>
  <c r="B84" i="3"/>
  <c r="B474" i="9" s="1"/>
  <c r="B85" i="3"/>
  <c r="B475" i="9" s="1"/>
  <c r="B86" i="3"/>
  <c r="B476" i="9" s="1"/>
  <c r="B87" i="3"/>
  <c r="B477" i="9" s="1"/>
  <c r="B88" i="3"/>
  <c r="B478" i="9" s="1"/>
  <c r="B89" i="3"/>
  <c r="B479" i="9" s="1"/>
  <c r="B90" i="3"/>
  <c r="B480" i="9" s="1"/>
  <c r="B91" i="3"/>
  <c r="B481" i="9" s="1"/>
  <c r="B92" i="3"/>
  <c r="B482" i="9" s="1"/>
  <c r="B93" i="3"/>
  <c r="B483" i="9" s="1"/>
  <c r="B94" i="3"/>
  <c r="B484" i="9" s="1"/>
  <c r="B95" i="3"/>
  <c r="B485" i="9" s="1"/>
  <c r="B96" i="3"/>
  <c r="B486" i="9" s="1"/>
  <c r="B97" i="3"/>
  <c r="B487" i="9" s="1"/>
  <c r="B98" i="3"/>
  <c r="B488" i="9" s="1"/>
  <c r="B99" i="3"/>
  <c r="B489" i="9" s="1"/>
  <c r="B100" i="3"/>
  <c r="B490" i="9" s="1"/>
  <c r="B101" i="3"/>
  <c r="B491" i="9" s="1"/>
  <c r="B102" i="3"/>
  <c r="B492" i="9" s="1"/>
  <c r="B103" i="3"/>
  <c r="B493" i="9" s="1"/>
  <c r="B104" i="3"/>
  <c r="B494" i="9" s="1"/>
  <c r="B105" i="3"/>
  <c r="B495" i="9" s="1"/>
  <c r="B106" i="3"/>
  <c r="B496" i="9" s="1"/>
  <c r="B107" i="3"/>
  <c r="B497" i="9" s="1"/>
  <c r="B108" i="3"/>
  <c r="B498" i="9" s="1"/>
  <c r="B2" i="3"/>
  <c r="B392" i="9" s="1"/>
  <c r="B195" i="9"/>
  <c r="B196" i="9"/>
  <c r="B197" i="9"/>
  <c r="L3" i="9" s="1"/>
  <c r="O3" i="9" s="1"/>
  <c r="B198" i="9"/>
  <c r="L4" i="9" s="1"/>
  <c r="O4" i="9" s="1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L5" i="9" s="1"/>
  <c r="O5" i="9" s="1"/>
  <c r="B216" i="9"/>
  <c r="B217" i="9"/>
  <c r="B218" i="9"/>
  <c r="B219" i="9"/>
  <c r="B220" i="9"/>
  <c r="B221" i="9"/>
  <c r="B222" i="9"/>
  <c r="B223" i="9"/>
  <c r="B224" i="9"/>
  <c r="L6" i="9" s="1"/>
  <c r="O6" i="9" s="1"/>
  <c r="B225" i="9"/>
  <c r="L7" i="9" s="1"/>
  <c r="O7" i="9" s="1"/>
  <c r="B226" i="9"/>
  <c r="B227" i="9"/>
  <c r="B228" i="9"/>
  <c r="B229" i="9"/>
  <c r="B230" i="9"/>
  <c r="B231" i="9"/>
  <c r="L8" i="9" s="1"/>
  <c r="O8" i="9" s="1"/>
  <c r="B232" i="9"/>
  <c r="B233" i="9"/>
  <c r="B234" i="9"/>
  <c r="B235" i="9"/>
  <c r="B236" i="9"/>
  <c r="L9" i="9" s="1"/>
  <c r="O9" i="9" s="1"/>
  <c r="B237" i="9"/>
  <c r="B238" i="9"/>
  <c r="B239" i="9"/>
  <c r="B240" i="9"/>
  <c r="L10" i="9" s="1"/>
  <c r="O10" i="9" s="1"/>
  <c r="B241" i="9"/>
  <c r="L11" i="9" s="1"/>
  <c r="O11" i="9" s="1"/>
  <c r="B242" i="9"/>
  <c r="L12" i="9" s="1"/>
  <c r="O12" i="9" s="1"/>
  <c r="B243" i="9"/>
  <c r="L13" i="9" s="1"/>
  <c r="O13" i="9" s="1"/>
  <c r="B244" i="9"/>
  <c r="L14" i="9" s="1"/>
  <c r="O14" i="9" s="1"/>
  <c r="B245" i="9"/>
  <c r="L15" i="9" s="1"/>
  <c r="O15" i="9" s="1"/>
  <c r="B246" i="9"/>
  <c r="L16" i="9" s="1"/>
  <c r="O16" i="9" s="1"/>
  <c r="B247" i="9"/>
  <c r="L17" i="9" s="1"/>
  <c r="O17" i="9" s="1"/>
  <c r="B248" i="9"/>
  <c r="L18" i="9" s="1"/>
  <c r="O18" i="9" s="1"/>
  <c r="B249" i="9"/>
  <c r="L19" i="9" s="1"/>
  <c r="O19" i="9" s="1"/>
  <c r="B250" i="9"/>
  <c r="L20" i="9" s="1"/>
  <c r="O20" i="9" s="1"/>
  <c r="B251" i="9"/>
  <c r="L21" i="9" s="1"/>
  <c r="O21" i="9" s="1"/>
  <c r="B252" i="9"/>
  <c r="L22" i="9" s="1"/>
  <c r="O22" i="9" s="1"/>
  <c r="B253" i="9"/>
  <c r="B254" i="9"/>
  <c r="L23" i="9" s="1"/>
  <c r="O23" i="9" s="1"/>
  <c r="B255" i="9"/>
  <c r="L24" i="9" s="1"/>
  <c r="O24" i="9" s="1"/>
  <c r="B256" i="9"/>
  <c r="L25" i="9" s="1"/>
  <c r="O25" i="9" s="1"/>
  <c r="B257" i="9"/>
  <c r="L26" i="9" s="1"/>
  <c r="O26" i="9" s="1"/>
  <c r="B258" i="9"/>
  <c r="L27" i="9" s="1"/>
  <c r="O27" i="9" s="1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L32" i="9" s="1"/>
  <c r="O32" i="9" s="1"/>
  <c r="B19" i="9"/>
  <c r="B20" i="9"/>
  <c r="B21" i="9"/>
  <c r="B22" i="9"/>
  <c r="B23" i="9"/>
  <c r="B24" i="9"/>
  <c r="B25" i="9"/>
  <c r="B26" i="9"/>
  <c r="B27" i="9"/>
  <c r="L33" i="9" s="1"/>
  <c r="O33" i="9" s="1"/>
  <c r="B28" i="9"/>
  <c r="L34" i="9" s="1"/>
  <c r="O34" i="9" s="1"/>
  <c r="B29" i="9"/>
  <c r="B30" i="9"/>
  <c r="L35" i="9" s="1"/>
  <c r="O35" i="9" s="1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" i="9"/>
  <c r="I68" i="2"/>
  <c r="I2" i="2"/>
  <c r="L2" i="9" l="1"/>
  <c r="O2" i="9" s="1"/>
  <c r="L1" i="9"/>
  <c r="O1" i="9" s="1"/>
  <c r="I40" i="2"/>
  <c r="I39" i="2"/>
  <c r="I65" i="2"/>
  <c r="I44" i="2"/>
  <c r="I15" i="2"/>
  <c r="I14" i="2"/>
  <c r="I67" i="2"/>
  <c r="I64" i="2"/>
  <c r="I66" i="2"/>
  <c r="D41" i="8"/>
  <c r="B41" i="8"/>
  <c r="C41" i="8"/>
  <c r="I16" i="2"/>
  <c r="I38" i="2"/>
  <c r="I45" i="2"/>
  <c r="I21" i="2"/>
  <c r="I19" i="2"/>
  <c r="I18" i="2"/>
  <c r="I20" i="2"/>
  <c r="I17" i="2"/>
  <c r="I43" i="2"/>
  <c r="I42" i="2"/>
  <c r="I41" i="2"/>
  <c r="I63" i="2"/>
  <c r="I13" i="2"/>
  <c r="I62" i="2"/>
  <c r="I12" i="2"/>
  <c r="I35" i="2"/>
  <c r="I11" i="2"/>
  <c r="I59" i="2"/>
  <c r="I34" i="2"/>
  <c r="I58" i="2"/>
  <c r="I33" i="2"/>
  <c r="I32" i="2"/>
  <c r="I56" i="2"/>
  <c r="I7" i="2"/>
  <c r="I30" i="2"/>
  <c r="I54" i="2"/>
  <c r="I5" i="2"/>
  <c r="I28" i="2"/>
  <c r="I51" i="2"/>
  <c r="I3" i="2"/>
  <c r="I26" i="2"/>
  <c r="I25" i="2"/>
  <c r="I48" i="2"/>
  <c r="I24" i="2"/>
  <c r="I37" i="2"/>
  <c r="I36" i="2"/>
  <c r="I10" i="2"/>
  <c r="I9" i="2"/>
  <c r="I57" i="2"/>
  <c r="I8" i="2"/>
  <c r="I31" i="2"/>
  <c r="I55" i="2"/>
  <c r="I6" i="2"/>
  <c r="I29" i="2"/>
  <c r="I53" i="2"/>
  <c r="I4" i="2"/>
  <c r="I27" i="2"/>
  <c r="I50" i="2"/>
  <c r="I49" i="2"/>
  <c r="I47" i="2"/>
  <c r="I23" i="2"/>
  <c r="I46" i="2"/>
  <c r="I22" i="2"/>
  <c r="B42" i="8" l="1"/>
  <c r="C42" i="8"/>
  <c r="D42" i="8"/>
  <c r="B43" i="8" l="1"/>
  <c r="C43" i="8"/>
  <c r="D43" i="8"/>
  <c r="B44" i="8" l="1"/>
  <c r="C44" i="8"/>
  <c r="D44" i="8"/>
  <c r="B45" i="8" l="1"/>
  <c r="C45" i="8"/>
  <c r="D45" i="8"/>
  <c r="D46" i="8" l="1"/>
  <c r="C46" i="8"/>
  <c r="B46" i="8"/>
  <c r="B47" i="8" l="1"/>
  <c r="C47" i="8"/>
  <c r="D47" i="8"/>
  <c r="B48" i="8" l="1"/>
  <c r="C48" i="8"/>
  <c r="D48" i="8"/>
  <c r="B49" i="8" l="1"/>
  <c r="C49" i="8"/>
  <c r="D49" i="8"/>
  <c r="D50" i="8" l="1"/>
  <c r="B50" i="8"/>
  <c r="C50" i="8"/>
  <c r="B51" i="8" l="1"/>
  <c r="C51" i="8"/>
  <c r="D51" i="8"/>
  <c r="C52" i="8" l="1"/>
  <c r="B52" i="8"/>
  <c r="D52" i="8"/>
  <c r="B53" i="8" l="1"/>
  <c r="C53" i="8"/>
  <c r="D53" i="8"/>
  <c r="B54" i="8" l="1"/>
  <c r="C54" i="8"/>
  <c r="D54" i="8"/>
  <c r="B55" i="8" l="1"/>
  <c r="C55" i="8"/>
  <c r="D55" i="8"/>
  <c r="B56" i="8" l="1"/>
  <c r="D56" i="8"/>
  <c r="C56" i="8"/>
  <c r="B57" i="8" l="1"/>
  <c r="C57" i="8"/>
  <c r="D57" i="8"/>
  <c r="C58" i="8" l="1"/>
  <c r="B58" i="8"/>
  <c r="D58" i="8"/>
  <c r="D59" i="8" l="1"/>
  <c r="B59" i="8"/>
  <c r="C59" i="8"/>
  <c r="B60" i="8" l="1"/>
  <c r="C60" i="8"/>
  <c r="D60" i="8"/>
  <c r="B61" i="8" l="1"/>
  <c r="C61" i="8"/>
  <c r="D61" i="8"/>
  <c r="B62" i="8" l="1"/>
  <c r="C62" i="8"/>
  <c r="D62" i="8"/>
  <c r="B63" i="8" l="1"/>
  <c r="C63" i="8"/>
  <c r="D63" i="8"/>
  <c r="B64" i="8" l="1"/>
  <c r="C64" i="8"/>
  <c r="D64" i="8"/>
  <c r="D65" i="8" l="1"/>
  <c r="B65" i="8"/>
  <c r="C65" i="8"/>
  <c r="C66" i="8" l="1"/>
  <c r="B66" i="8"/>
  <c r="D66" i="8"/>
  <c r="B67" i="8" l="1"/>
  <c r="C67" i="8"/>
  <c r="D67" i="8"/>
  <c r="D68" i="8" l="1"/>
  <c r="B68" i="8"/>
  <c r="C68" i="8"/>
  <c r="B69" i="8" l="1"/>
  <c r="D69" i="8"/>
  <c r="C69" i="8"/>
  <c r="B70" i="8" l="1"/>
  <c r="C70" i="8"/>
  <c r="D70" i="8"/>
  <c r="B71" i="8" l="1"/>
  <c r="C71" i="8"/>
  <c r="D71" i="8"/>
  <c r="B72" i="8" l="1"/>
  <c r="C72" i="8"/>
  <c r="D72" i="8"/>
  <c r="B73" i="8" l="1"/>
  <c r="C73" i="8"/>
  <c r="D73" i="8"/>
  <c r="C74" i="8" l="1"/>
  <c r="B74" i="8"/>
  <c r="D74" i="8"/>
  <c r="D75" i="8" l="1"/>
  <c r="B75" i="8"/>
  <c r="C75" i="8"/>
  <c r="B76" i="8" l="1"/>
  <c r="C76" i="8"/>
  <c r="D76" i="8"/>
  <c r="D77" i="8" l="1"/>
  <c r="B77" i="8"/>
  <c r="C77" i="8"/>
  <c r="B78" i="8" l="1"/>
  <c r="C78" i="8"/>
  <c r="D78" i="8"/>
  <c r="B79" i="8" l="1"/>
  <c r="C79" i="8"/>
  <c r="D79" i="8"/>
  <c r="B80" i="8" l="1"/>
  <c r="C80" i="8"/>
  <c r="D80" i="8"/>
  <c r="B81" i="8" l="1"/>
  <c r="C81" i="8"/>
  <c r="D81" i="8"/>
  <c r="B82" i="8" l="1"/>
  <c r="C82" i="8"/>
  <c r="D82" i="8"/>
  <c r="B83" i="8" l="1"/>
  <c r="C83" i="8"/>
  <c r="D83" i="8"/>
  <c r="B84" i="8" l="1"/>
  <c r="D84" i="8"/>
  <c r="C84" i="8"/>
  <c r="C85" i="8" l="1"/>
  <c r="B85" i="8"/>
  <c r="D85" i="8"/>
  <c r="D86" i="8" l="1"/>
  <c r="B86" i="8"/>
  <c r="C86" i="8"/>
  <c r="B87" i="8" l="1"/>
  <c r="C87" i="8"/>
  <c r="D87" i="8"/>
  <c r="B88" i="8" l="1"/>
  <c r="C88" i="8"/>
  <c r="D88" i="8"/>
  <c r="B89" i="8" l="1"/>
  <c r="C89" i="8"/>
  <c r="D89" i="8"/>
  <c r="B90" i="8" l="1"/>
  <c r="C90" i="8"/>
  <c r="D90" i="8"/>
  <c r="B91" i="8" l="1"/>
  <c r="C91" i="8"/>
  <c r="D91" i="8"/>
  <c r="C92" i="8" l="1"/>
  <c r="B92" i="8"/>
  <c r="D92" i="8"/>
  <c r="C93" i="8" l="1"/>
  <c r="D93" i="8"/>
  <c r="B93" i="8"/>
  <c r="B94" i="8" l="1"/>
  <c r="C94" i="8"/>
  <c r="D94" i="8"/>
  <c r="B95" i="8" l="1"/>
  <c r="D95" i="8"/>
  <c r="C95" i="8"/>
  <c r="D96" i="8" l="1"/>
  <c r="B96" i="8"/>
  <c r="C96" i="8"/>
  <c r="B97" i="8" l="1"/>
  <c r="C97" i="8"/>
  <c r="D97" i="8"/>
  <c r="C98" i="8" l="1"/>
  <c r="D98" i="8"/>
  <c r="B98" i="8"/>
  <c r="B99" i="8" l="1"/>
  <c r="C99" i="8"/>
  <c r="D99" i="8"/>
  <c r="B100" i="8" l="1"/>
  <c r="C100" i="8"/>
  <c r="D100" i="8"/>
  <c r="B101" i="8" l="1"/>
  <c r="C101" i="8"/>
  <c r="D101" i="8"/>
  <c r="B102" i="8" l="1"/>
  <c r="D102" i="8"/>
  <c r="C102" i="8"/>
  <c r="B103" i="8" l="1"/>
  <c r="C103" i="8"/>
  <c r="D103" i="8"/>
  <c r="C104" i="8" l="1"/>
  <c r="B104" i="8"/>
  <c r="D104" i="8"/>
  <c r="D105" i="8" l="1"/>
  <c r="B105" i="8"/>
  <c r="C105" i="8"/>
  <c r="B106" i="8" l="1"/>
  <c r="C106" i="8"/>
  <c r="D106" i="8"/>
  <c r="C107" i="8" l="1"/>
  <c r="B107" i="8"/>
  <c r="D107" i="8"/>
  <c r="B108" i="8" l="1"/>
  <c r="C108" i="8"/>
  <c r="D108" i="8"/>
  <c r="B109" i="8" l="1"/>
  <c r="C109" i="8"/>
  <c r="D109" i="8"/>
  <c r="C110" i="8" l="1"/>
  <c r="B110" i="8"/>
  <c r="D110" i="8"/>
  <c r="B111" i="8" l="1"/>
  <c r="C111" i="8"/>
  <c r="D111" i="8"/>
  <c r="C112" i="8" l="1"/>
  <c r="D112" i="8"/>
  <c r="B112" i="8"/>
  <c r="B113" i="8" l="1"/>
  <c r="C113" i="8"/>
  <c r="D113" i="8"/>
  <c r="D114" i="8" l="1"/>
  <c r="B114" i="8"/>
  <c r="C114" i="8"/>
  <c r="B115" i="8" l="1"/>
  <c r="C115" i="8"/>
  <c r="D115" i="8"/>
  <c r="D116" i="8" l="1"/>
  <c r="C116" i="8"/>
  <c r="B116" i="8"/>
  <c r="B117" i="8" l="1"/>
  <c r="C117" i="8"/>
  <c r="D117" i="8"/>
  <c r="B118" i="8" l="1"/>
  <c r="C118" i="8"/>
  <c r="D118" i="8"/>
  <c r="B119" i="8" l="1"/>
  <c r="C119" i="8"/>
  <c r="D119" i="8"/>
  <c r="B120" i="8" l="1"/>
  <c r="C120" i="8"/>
  <c r="D120" i="8"/>
  <c r="B121" i="8" l="1"/>
  <c r="C121" i="8"/>
  <c r="D121" i="8"/>
  <c r="B122" i="8" l="1"/>
  <c r="C122" i="8"/>
  <c r="D122" i="8"/>
  <c r="D123" i="8" l="1"/>
  <c r="B123" i="8"/>
  <c r="C123" i="8"/>
  <c r="B124" i="8" l="1"/>
  <c r="C124" i="8"/>
  <c r="D124" i="8"/>
  <c r="C125" i="8" l="1"/>
  <c r="B125" i="8"/>
  <c r="D125" i="8"/>
  <c r="B126" i="8" l="1"/>
  <c r="C126" i="8"/>
  <c r="D126" i="8"/>
  <c r="B127" i="8" l="1"/>
  <c r="C127" i="8"/>
  <c r="D127" i="8"/>
  <c r="B128" i="8" l="1"/>
  <c r="C128" i="8"/>
  <c r="D128" i="8"/>
  <c r="B129" i="8" l="1"/>
  <c r="C129" i="8"/>
  <c r="D129" i="8"/>
  <c r="D130" i="8" l="1"/>
  <c r="C130" i="8"/>
  <c r="B130" i="8"/>
  <c r="B131" i="8" l="1"/>
  <c r="C131" i="8"/>
  <c r="D131" i="8"/>
  <c r="D132" i="8" l="1"/>
  <c r="C132" i="8"/>
  <c r="B132" i="8"/>
  <c r="B133" i="8" l="1"/>
  <c r="C133" i="8"/>
  <c r="D133" i="8"/>
  <c r="C134" i="8" l="1"/>
  <c r="D134" i="8"/>
  <c r="B134" i="8"/>
  <c r="B135" i="8" l="1"/>
  <c r="C135" i="8"/>
  <c r="D135" i="8"/>
  <c r="C136" i="8" l="1"/>
  <c r="B136" i="8"/>
  <c r="D136" i="8"/>
  <c r="B137" i="8" l="1"/>
  <c r="C137" i="8"/>
  <c r="D137" i="8"/>
  <c r="C138" i="8" l="1"/>
  <c r="B138" i="8"/>
  <c r="D138" i="8"/>
  <c r="B139" i="8" l="1"/>
  <c r="C139" i="8"/>
  <c r="D139" i="8"/>
  <c r="C140" i="8" l="1"/>
  <c r="B140" i="8"/>
  <c r="D140" i="8"/>
  <c r="D141" i="8" l="1"/>
  <c r="C141" i="8"/>
  <c r="B141" i="8"/>
  <c r="B142" i="8" l="1"/>
  <c r="D142" i="8"/>
  <c r="C142" i="8"/>
  <c r="B143" i="8" l="1"/>
  <c r="C143" i="8"/>
  <c r="D143" i="8"/>
  <c r="B144" i="8" l="1"/>
  <c r="C144" i="8"/>
  <c r="D144" i="8"/>
  <c r="B145" i="8" l="1"/>
  <c r="C145" i="8"/>
  <c r="D145" i="8"/>
  <c r="B146" i="8" l="1"/>
  <c r="C146" i="8"/>
  <c r="D146" i="8"/>
  <c r="D147" i="8" l="1"/>
  <c r="B147" i="8"/>
  <c r="C147" i="8"/>
  <c r="C148" i="8" l="1"/>
  <c r="D148" i="8"/>
  <c r="B148" i="8"/>
  <c r="B149" i="8" l="1"/>
  <c r="C149" i="8"/>
  <c r="D149" i="8"/>
  <c r="D150" i="8" l="1"/>
  <c r="C150" i="8"/>
  <c r="B150" i="8"/>
  <c r="B151" i="8" l="1"/>
  <c r="C151" i="8"/>
  <c r="D151" i="8"/>
  <c r="B152" i="8" l="1"/>
  <c r="C152" i="8"/>
  <c r="D152" i="8"/>
  <c r="B153" i="8" l="1"/>
  <c r="C153" i="8"/>
  <c r="D153" i="8"/>
  <c r="B154" i="8" l="1"/>
  <c r="C154" i="8"/>
  <c r="D154" i="8"/>
  <c r="B155" i="8" l="1"/>
  <c r="C155" i="8"/>
  <c r="D155" i="8"/>
  <c r="B156" i="8" l="1"/>
  <c r="C156" i="8"/>
  <c r="D156" i="8"/>
  <c r="B157" i="8" l="1"/>
  <c r="D157" i="8"/>
  <c r="C157" i="8"/>
  <c r="C158" i="8" l="1"/>
  <c r="B158" i="8"/>
  <c r="D158" i="8"/>
  <c r="B159" i="8" l="1"/>
  <c r="C159" i="8"/>
  <c r="D159" i="8"/>
  <c r="D160" i="8" l="1"/>
  <c r="C160" i="8"/>
  <c r="B160" i="8"/>
  <c r="B161" i="8" l="1"/>
  <c r="C161" i="8"/>
  <c r="D161" i="8"/>
  <c r="B162" i="8" l="1"/>
  <c r="C162" i="8"/>
  <c r="D162" i="8"/>
  <c r="C163" i="8" l="1"/>
  <c r="B163" i="8"/>
  <c r="D163" i="8"/>
  <c r="B164" i="8" l="1"/>
  <c r="C164" i="8"/>
  <c r="D164" i="8"/>
  <c r="B165" i="8" l="1"/>
  <c r="C165" i="8"/>
  <c r="D165" i="8"/>
  <c r="D166" i="8" l="1"/>
  <c r="B166" i="8"/>
  <c r="C166" i="8"/>
  <c r="B167" i="8" l="1"/>
  <c r="C167" i="8"/>
  <c r="D167" i="8"/>
  <c r="B168" i="8" l="1"/>
  <c r="C168" i="8"/>
  <c r="D168" i="8"/>
  <c r="D169" i="8" l="1"/>
  <c r="C169" i="8"/>
  <c r="B169" i="8"/>
  <c r="B170" i="8" l="1"/>
  <c r="C170" i="8"/>
  <c r="D170" i="8"/>
  <c r="B171" i="8" l="1"/>
  <c r="C171" i="8"/>
  <c r="D171" i="8"/>
  <c r="B172" i="8" l="1"/>
  <c r="C172" i="8"/>
  <c r="D172" i="8"/>
  <c r="B173" i="8" l="1"/>
  <c r="C173" i="8"/>
  <c r="D173" i="8"/>
  <c r="C174" i="8" l="1"/>
  <c r="B174" i="8"/>
  <c r="D174" i="8"/>
  <c r="B175" i="8" l="1"/>
  <c r="C175" i="8"/>
  <c r="D175" i="8"/>
  <c r="C176" i="8" l="1"/>
  <c r="B176" i="8"/>
  <c r="D176" i="8"/>
  <c r="C177" i="8" l="1"/>
  <c r="B177" i="8"/>
  <c r="D177" i="8"/>
  <c r="D178" i="8" l="1"/>
  <c r="B178" i="8"/>
  <c r="C178" i="8"/>
  <c r="B179" i="8" l="1"/>
  <c r="D179" i="8"/>
  <c r="C179" i="8"/>
  <c r="C180" i="8" l="1"/>
  <c r="D180" i="8"/>
  <c r="B180" i="8"/>
  <c r="B181" i="8" l="1"/>
  <c r="C181" i="8"/>
  <c r="D181" i="8"/>
  <c r="B182" i="8" l="1"/>
  <c r="C182" i="8"/>
  <c r="D182" i="8"/>
  <c r="B183" i="8" l="1"/>
  <c r="C183" i="8"/>
  <c r="D183" i="8"/>
  <c r="D184" i="8" l="1"/>
  <c r="B184" i="8"/>
  <c r="C184" i="8"/>
  <c r="D185" i="8" l="1"/>
  <c r="B185" i="8"/>
  <c r="C185" i="8"/>
  <c r="C186" i="8" l="1"/>
  <c r="B186" i="8"/>
  <c r="D186" i="8"/>
  <c r="D187" i="8" l="1"/>
  <c r="B187" i="8"/>
  <c r="C187" i="8"/>
  <c r="B188" i="8" l="1"/>
  <c r="C188" i="8"/>
  <c r="D188" i="8"/>
  <c r="B189" i="8" l="1"/>
  <c r="D189" i="8"/>
  <c r="C189" i="8"/>
  <c r="B190" i="8" l="1"/>
  <c r="C190" i="8"/>
  <c r="D190" i="8"/>
  <c r="B191" i="8" l="1"/>
  <c r="C191" i="8"/>
  <c r="D191" i="8"/>
  <c r="B192" i="8" l="1"/>
  <c r="C192" i="8"/>
  <c r="D192" i="8"/>
  <c r="B193" i="8" l="1"/>
  <c r="C193" i="8"/>
  <c r="D193" i="8"/>
  <c r="B194" i="8" l="1"/>
  <c r="C194" i="8"/>
  <c r="D194" i="8"/>
  <c r="B195" i="8" l="1"/>
  <c r="C195" i="8"/>
  <c r="D195" i="8"/>
  <c r="D196" i="8" l="1"/>
  <c r="C196" i="8"/>
  <c r="B196" i="8"/>
  <c r="B197" i="8" l="1"/>
  <c r="D197" i="8"/>
  <c r="C197" i="8"/>
  <c r="C198" i="8" l="1"/>
  <c r="D198" i="8"/>
  <c r="B198" i="8"/>
  <c r="B199" i="8" l="1"/>
  <c r="C199" i="8"/>
  <c r="D199" i="8"/>
  <c r="B200" i="8" l="1"/>
  <c r="C200" i="8"/>
  <c r="D200" i="8"/>
  <c r="B201" i="8" l="1"/>
  <c r="C201" i="8"/>
  <c r="D201" i="8"/>
  <c r="D202" i="8" l="1"/>
  <c r="B202" i="8"/>
  <c r="C202" i="8"/>
  <c r="B203" i="8" l="1"/>
  <c r="C203" i="8"/>
  <c r="D203" i="8"/>
  <c r="B204" i="8" l="1"/>
  <c r="C204" i="8"/>
  <c r="D204" i="8"/>
  <c r="D205" i="8" l="1"/>
  <c r="C205" i="8"/>
  <c r="B205" i="8"/>
  <c r="B206" i="8" l="1"/>
  <c r="C206" i="8"/>
  <c r="D206" i="8"/>
  <c r="B207" i="8" l="1"/>
  <c r="C207" i="8"/>
  <c r="D207" i="8"/>
  <c r="B208" i="8" l="1"/>
  <c r="C208" i="8"/>
  <c r="D208" i="8"/>
  <c r="D209" i="8" l="1"/>
  <c r="B209" i="8"/>
  <c r="C209" i="8"/>
  <c r="B210" i="8" l="1"/>
  <c r="C210" i="8"/>
  <c r="D210" i="8"/>
  <c r="C211" i="8" l="1"/>
  <c r="D211" i="8"/>
  <c r="B211" i="8"/>
  <c r="C212" i="8" l="1"/>
  <c r="D212" i="8"/>
  <c r="B212" i="8"/>
  <c r="B213" i="8" l="1"/>
  <c r="C213" i="8"/>
  <c r="D213" i="8"/>
  <c r="C214" i="8" l="1"/>
  <c r="D214" i="8"/>
  <c r="B214" i="8"/>
  <c r="B215" i="8" l="1"/>
  <c r="C215" i="8"/>
  <c r="D215" i="8"/>
  <c r="C216" i="8" l="1"/>
  <c r="D216" i="8"/>
  <c r="B216" i="8"/>
  <c r="B217" i="8" l="1"/>
  <c r="C217" i="8"/>
  <c r="D217" i="8"/>
  <c r="B218" i="8" l="1"/>
  <c r="C218" i="8"/>
  <c r="D218" i="8"/>
  <c r="D219" i="8" l="1"/>
  <c r="C219" i="8"/>
  <c r="B219" i="8"/>
  <c r="B220" i="8" l="1"/>
  <c r="C220" i="8"/>
  <c r="D220" i="8"/>
  <c r="B221" i="8" l="1"/>
  <c r="D221" i="8"/>
  <c r="C221" i="8"/>
  <c r="D222" i="8" l="1"/>
  <c r="B222" i="8"/>
  <c r="C222" i="8"/>
  <c r="B223" i="8" l="1"/>
  <c r="C223" i="8"/>
  <c r="D223" i="8"/>
  <c r="B224" i="8" l="1"/>
  <c r="C224" i="8"/>
  <c r="D224" i="8"/>
  <c r="B225" i="8" l="1"/>
  <c r="C225" i="8"/>
  <c r="D225" i="8"/>
  <c r="B226" i="8" l="1"/>
  <c r="D226" i="8"/>
  <c r="C226" i="8"/>
  <c r="B227" i="8" l="1"/>
  <c r="C227" i="8"/>
  <c r="D227" i="8"/>
  <c r="B228" i="8" l="1"/>
  <c r="C228" i="8"/>
  <c r="D228" i="8"/>
  <c r="B229" i="8" l="1"/>
  <c r="C229" i="8"/>
  <c r="D229" i="8"/>
  <c r="B230" i="8" l="1"/>
  <c r="C230" i="8"/>
  <c r="D230" i="8"/>
  <c r="B231" i="8" l="1"/>
  <c r="C231" i="8"/>
  <c r="D231" i="8"/>
  <c r="C232" i="8" l="1"/>
  <c r="D232" i="8"/>
  <c r="B232" i="8"/>
  <c r="D233" i="8" l="1"/>
  <c r="B233" i="8"/>
  <c r="C233" i="8"/>
  <c r="B234" i="8" l="1"/>
  <c r="C234" i="8"/>
  <c r="D234" i="8"/>
  <c r="B235" i="8" l="1"/>
  <c r="C235" i="8"/>
  <c r="D235" i="8"/>
  <c r="C236" i="8" l="1"/>
  <c r="D236" i="8"/>
  <c r="B236" i="8"/>
  <c r="D237" i="8" l="1"/>
  <c r="B237" i="8"/>
  <c r="C237" i="8"/>
  <c r="B238" i="8" l="1"/>
  <c r="C238" i="8"/>
  <c r="D238" i="8"/>
  <c r="B239" i="8" l="1"/>
  <c r="C239" i="8"/>
  <c r="D239" i="8"/>
  <c r="D240" i="8" l="1"/>
  <c r="B240" i="8"/>
  <c r="C240" i="8"/>
  <c r="B241" i="8" l="1"/>
  <c r="C241" i="8"/>
  <c r="D241" i="8"/>
  <c r="C242" i="8" l="1"/>
  <c r="D242" i="8"/>
  <c r="B242" i="8"/>
  <c r="B243" i="8" l="1"/>
  <c r="D243" i="8"/>
  <c r="C243" i="8"/>
  <c r="B244" i="8" l="1"/>
  <c r="C244" i="8"/>
  <c r="D244" i="8"/>
  <c r="B245" i="8" l="1"/>
  <c r="C245" i="8"/>
  <c r="D245" i="8"/>
  <c r="D246" i="8" l="1"/>
  <c r="B246" i="8"/>
  <c r="C246" i="8"/>
  <c r="B247" i="8" l="1"/>
  <c r="C247" i="8"/>
  <c r="D247" i="8"/>
  <c r="B248" i="8" l="1"/>
  <c r="C248" i="8"/>
  <c r="D248" i="8"/>
  <c r="D249" i="8" l="1"/>
  <c r="C249" i="8"/>
  <c r="B249" i="8"/>
  <c r="B250" i="8" l="1"/>
  <c r="C250" i="8"/>
  <c r="D250" i="8"/>
  <c r="C251" i="8" l="1"/>
  <c r="B251" i="8"/>
  <c r="D251" i="8"/>
  <c r="D252" i="8" l="1"/>
  <c r="B252" i="8"/>
  <c r="C252" i="8"/>
  <c r="B253" i="8" l="1"/>
  <c r="D253" i="8"/>
  <c r="C253" i="8"/>
  <c r="B254" i="8" l="1"/>
  <c r="D254" i="8"/>
  <c r="C254" i="8"/>
  <c r="B255" i="8" l="1"/>
  <c r="C255" i="8"/>
  <c r="D255" i="8"/>
  <c r="D256" i="8" l="1"/>
  <c r="B256" i="8"/>
  <c r="C256" i="8"/>
  <c r="C257" i="8" l="1"/>
  <c r="B257" i="8"/>
  <c r="D257" i="8"/>
  <c r="D258" i="8" l="1"/>
  <c r="B258" i="8"/>
  <c r="C258" i="8"/>
  <c r="B259" i="8" l="1"/>
  <c r="C259" i="8"/>
  <c r="D259" i="8"/>
  <c r="D260" i="8" l="1"/>
  <c r="C260" i="8"/>
  <c r="B260" i="8"/>
  <c r="B261" i="8" l="1"/>
  <c r="D261" i="8"/>
  <c r="C261" i="8"/>
  <c r="B262" i="8" l="1"/>
  <c r="C262" i="8"/>
  <c r="D262" i="8"/>
  <c r="D263" i="8" l="1"/>
  <c r="B263" i="8"/>
  <c r="C263" i="8"/>
  <c r="B264" i="8" l="1"/>
  <c r="C264" i="8"/>
  <c r="D264" i="8"/>
  <c r="B265" i="8" l="1"/>
  <c r="D265" i="8"/>
  <c r="C265" i="8"/>
  <c r="B266" i="8" l="1"/>
  <c r="C266" i="8"/>
  <c r="D266" i="8"/>
  <c r="D267" i="8" l="1"/>
  <c r="B267" i="8"/>
  <c r="C267" i="8"/>
  <c r="B268" i="8" l="1"/>
  <c r="C268" i="8"/>
  <c r="D268" i="8"/>
  <c r="B269" i="8" l="1"/>
  <c r="D269" i="8"/>
  <c r="C269" i="8"/>
  <c r="C270" i="8" l="1"/>
  <c r="B270" i="8"/>
  <c r="D270" i="8"/>
  <c r="D271" i="8" l="1"/>
  <c r="B271" i="8"/>
  <c r="C271" i="8"/>
  <c r="B272" i="8" l="1"/>
  <c r="C272" i="8"/>
  <c r="D272" i="8"/>
  <c r="B273" i="8" l="1"/>
  <c r="D273" i="8"/>
  <c r="C273" i="8"/>
  <c r="C274" i="8" l="1"/>
  <c r="B274" i="8"/>
  <c r="D274" i="8"/>
  <c r="B275" i="8" l="1"/>
  <c r="C275" i="8"/>
  <c r="D275" i="8"/>
  <c r="C276" i="8" l="1"/>
  <c r="D276" i="8"/>
  <c r="B276" i="8"/>
  <c r="B277" i="8" l="1"/>
  <c r="C277" i="8"/>
  <c r="D277" i="8"/>
  <c r="C278" i="8" l="1"/>
  <c r="D278" i="8"/>
  <c r="B278" i="8"/>
  <c r="B279" i="8" l="1"/>
  <c r="C279" i="8"/>
  <c r="D279" i="8"/>
  <c r="B280" i="8" l="1"/>
  <c r="C280" i="8"/>
  <c r="D280" i="8"/>
  <c r="C281" i="8" l="1"/>
  <c r="D281" i="8"/>
  <c r="B281" i="8"/>
  <c r="C282" i="8" l="1"/>
  <c r="B282" i="8"/>
  <c r="D282" i="8"/>
  <c r="B283" i="8" l="1"/>
  <c r="C283" i="8"/>
  <c r="D283" i="8"/>
  <c r="B284" i="8" l="1"/>
  <c r="C284" i="8"/>
  <c r="D284" i="8"/>
  <c r="C285" i="8" l="1"/>
  <c r="D285" i="8"/>
  <c r="B285" i="8"/>
  <c r="B286" i="8" l="1"/>
  <c r="C286" i="8"/>
  <c r="D286" i="8"/>
  <c r="C287" i="8" l="1"/>
  <c r="B287" i="8"/>
  <c r="D287" i="8"/>
  <c r="C288" i="8" l="1"/>
  <c r="D288" i="8"/>
  <c r="B288" i="8"/>
  <c r="B289" i="8" l="1"/>
  <c r="C289" i="8"/>
  <c r="D289" i="8"/>
  <c r="D290" i="8" l="1"/>
  <c r="B290" i="8"/>
  <c r="C290" i="8"/>
  <c r="C291" i="8" l="1"/>
  <c r="D291" i="8"/>
  <c r="B291" i="8"/>
  <c r="B292" i="8" l="1"/>
  <c r="C292" i="8"/>
  <c r="D292" i="8"/>
  <c r="B293" i="8" l="1"/>
  <c r="C293" i="8"/>
  <c r="D293" i="8"/>
  <c r="C294" i="8" l="1"/>
  <c r="B294" i="8"/>
  <c r="D294" i="8"/>
  <c r="B295" i="8" l="1"/>
  <c r="C295" i="8"/>
  <c r="D295" i="8"/>
  <c r="D296" i="8" l="1"/>
  <c r="C296" i="8"/>
  <c r="B296" i="8"/>
  <c r="B297" i="8" l="1"/>
  <c r="C297" i="8"/>
  <c r="D297" i="8"/>
  <c r="B298" i="8" l="1"/>
  <c r="C298" i="8"/>
  <c r="D298" i="8"/>
  <c r="C299" i="8" l="1"/>
  <c r="D299" i="8"/>
  <c r="B299" i="8"/>
  <c r="D300" i="8" l="1"/>
  <c r="B300" i="8"/>
  <c r="C300" i="8"/>
  <c r="C301" i="8" l="1"/>
  <c r="D301" i="8"/>
  <c r="B301" i="8"/>
  <c r="B302" i="8" l="1"/>
  <c r="C302" i="8"/>
  <c r="D302" i="8"/>
  <c r="C303" i="8" l="1"/>
  <c r="B303" i="8"/>
  <c r="D303" i="8"/>
  <c r="B304" i="8" l="1"/>
  <c r="C304" i="8"/>
  <c r="D304" i="8"/>
  <c r="B305" i="8" l="1"/>
  <c r="D305" i="8"/>
  <c r="C305" i="8"/>
  <c r="C306" i="8" l="1"/>
  <c r="B306" i="8"/>
  <c r="D306" i="8"/>
  <c r="D307" i="8" l="1"/>
  <c r="B307" i="8"/>
  <c r="C307" i="8"/>
  <c r="C308" i="8" l="1"/>
  <c r="D308" i="8"/>
  <c r="B308" i="8"/>
  <c r="B309" i="8" l="1"/>
  <c r="D309" i="8"/>
  <c r="C309" i="8"/>
  <c r="B310" i="8" l="1"/>
  <c r="C310" i="8"/>
  <c r="D310" i="8"/>
  <c r="B311" i="8" l="1"/>
  <c r="C311" i="8"/>
  <c r="D311" i="8"/>
  <c r="B312" i="8" l="1"/>
  <c r="C312" i="8"/>
  <c r="D312" i="8"/>
  <c r="D313" i="8" l="1"/>
  <c r="B313" i="8"/>
  <c r="C313" i="8"/>
  <c r="D314" i="8" l="1"/>
  <c r="B314" i="8"/>
  <c r="C314" i="8"/>
  <c r="B315" i="8" l="1"/>
  <c r="D315" i="8"/>
  <c r="C315" i="8"/>
  <c r="B316" i="8" l="1"/>
  <c r="C316" i="8"/>
  <c r="D316" i="8"/>
  <c r="B317" i="8" l="1"/>
  <c r="D317" i="8"/>
  <c r="C317" i="8"/>
  <c r="D318" i="8" l="1"/>
  <c r="B318" i="8"/>
  <c r="C318" i="8"/>
  <c r="D319" i="8" l="1"/>
  <c r="B319" i="8"/>
  <c r="C319" i="8"/>
  <c r="C320" i="8" l="1"/>
  <c r="B320" i="8"/>
  <c r="D320" i="8"/>
  <c r="B321" i="8" l="1"/>
  <c r="D321" i="8"/>
  <c r="C321" i="8"/>
  <c r="B322" i="8" l="1"/>
  <c r="C322" i="8"/>
  <c r="D322" i="8"/>
  <c r="B323" i="8" l="1"/>
  <c r="C323" i="8"/>
  <c r="D323" i="8"/>
  <c r="B324" i="8" l="1"/>
  <c r="D324" i="8"/>
  <c r="C324" i="8"/>
  <c r="B325" i="8" l="1"/>
  <c r="D325" i="8"/>
  <c r="C325" i="8"/>
  <c r="B326" i="8" l="1"/>
  <c r="C326" i="8"/>
  <c r="D326" i="8"/>
  <c r="C327" i="8" l="1"/>
  <c r="D327" i="8"/>
  <c r="B327" i="8"/>
  <c r="C328" i="8" l="1"/>
  <c r="B328" i="8"/>
  <c r="D328" i="8"/>
  <c r="B329" i="8" l="1"/>
  <c r="C329" i="8"/>
  <c r="D329" i="8"/>
</calcChain>
</file>

<file path=xl/sharedStrings.xml><?xml version="1.0" encoding="utf-8"?>
<sst xmlns="http://schemas.openxmlformats.org/spreadsheetml/2006/main" count="2070" uniqueCount="763">
  <si>
    <t>name</t>
  </si>
  <si>
    <t>P</t>
  </si>
  <si>
    <t>Q</t>
  </si>
  <si>
    <t>Ld10</t>
  </si>
  <si>
    <t>Ld100</t>
  </si>
  <si>
    <t>Ld102</t>
  </si>
  <si>
    <t>Ld103</t>
  </si>
  <si>
    <t>Ld104</t>
  </si>
  <si>
    <t>Ld105</t>
  </si>
  <si>
    <t>Ld107</t>
  </si>
  <si>
    <t>Ld108</t>
  </si>
  <si>
    <t>Ld109</t>
  </si>
  <si>
    <t>Ld11</t>
  </si>
  <si>
    <t>Ld110</t>
  </si>
  <si>
    <t>Ld112</t>
  </si>
  <si>
    <t>Ld113</t>
  </si>
  <si>
    <t>Ld114</t>
  </si>
  <si>
    <t>Ld118</t>
  </si>
  <si>
    <t>Ld119</t>
  </si>
  <si>
    <t>Ld120</t>
  </si>
  <si>
    <t>Ld121</t>
  </si>
  <si>
    <t>Ld123</t>
  </si>
  <si>
    <t>Ld124</t>
  </si>
  <si>
    <t>Ld126</t>
  </si>
  <si>
    <t>Ld127</t>
  </si>
  <si>
    <t>Ld13</t>
  </si>
  <si>
    <t>Ld135</t>
  </si>
  <si>
    <t>Ld136</t>
  </si>
  <si>
    <t>Ld137</t>
  </si>
  <si>
    <t>Ld138</t>
  </si>
  <si>
    <t>Ld139</t>
  </si>
  <si>
    <t>Ld14</t>
  </si>
  <si>
    <t>Ld140</t>
  </si>
  <si>
    <t>Ld141</t>
  </si>
  <si>
    <t>Ld142</t>
  </si>
  <si>
    <t>Ld143</t>
  </si>
  <si>
    <t>Ld144</t>
  </si>
  <si>
    <t>Ld145</t>
  </si>
  <si>
    <t>Ld148</t>
  </si>
  <si>
    <t>Ld15</t>
  </si>
  <si>
    <t>Ld152</t>
  </si>
  <si>
    <t>Ld154</t>
  </si>
  <si>
    <t>Ld155</t>
  </si>
  <si>
    <t>Ld156</t>
  </si>
  <si>
    <t>Ld157</t>
  </si>
  <si>
    <t>Ld159</t>
  </si>
  <si>
    <t>Ld16</t>
  </si>
  <si>
    <t>Ld161</t>
  </si>
  <si>
    <t>Ld163</t>
  </si>
  <si>
    <t>Ld167</t>
  </si>
  <si>
    <t>Ld17</t>
  </si>
  <si>
    <t>Ld171</t>
  </si>
  <si>
    <t>Ld173</t>
  </si>
  <si>
    <t>Ld175</t>
  </si>
  <si>
    <t>Ld176</t>
  </si>
  <si>
    <t>Ld177</t>
  </si>
  <si>
    <t>Ld178</t>
  </si>
  <si>
    <t>Ld179</t>
  </si>
  <si>
    <t>Ld18</t>
  </si>
  <si>
    <t>Ld180</t>
  </si>
  <si>
    <t>Ld181</t>
  </si>
  <si>
    <t>Ld182</t>
  </si>
  <si>
    <t>Ld183</t>
  </si>
  <si>
    <t>Ld184</t>
  </si>
  <si>
    <t>Ld186</t>
  </si>
  <si>
    <t>Ld187</t>
  </si>
  <si>
    <t>Ld188</t>
  </si>
  <si>
    <t>Ld19</t>
  </si>
  <si>
    <t>Ld191</t>
  </si>
  <si>
    <t>Ld192</t>
  </si>
  <si>
    <t>Ld196</t>
  </si>
  <si>
    <t>Ld197</t>
  </si>
  <si>
    <t>Ld198</t>
  </si>
  <si>
    <t>Ld199</t>
  </si>
  <si>
    <t>Ld2</t>
  </si>
  <si>
    <t>Ld20</t>
  </si>
  <si>
    <t>Ld200</t>
  </si>
  <si>
    <t>Ld201</t>
  </si>
  <si>
    <t>Ld202</t>
  </si>
  <si>
    <t>Ld203</t>
  </si>
  <si>
    <t>Ld204</t>
  </si>
  <si>
    <t>Ld205</t>
  </si>
  <si>
    <t>Ld206</t>
  </si>
  <si>
    <t>Ld207</t>
  </si>
  <si>
    <t>Ld208</t>
  </si>
  <si>
    <t>Ld209</t>
  </si>
  <si>
    <t>Ld21</t>
  </si>
  <si>
    <t>Ld211</t>
  </si>
  <si>
    <t>Ld214</t>
  </si>
  <si>
    <t>Ld215</t>
  </si>
  <si>
    <t>Ld216</t>
  </si>
  <si>
    <t>Ld217</t>
  </si>
  <si>
    <t>Ld218</t>
  </si>
  <si>
    <t>Ld22</t>
  </si>
  <si>
    <t>Ld220</t>
  </si>
  <si>
    <t>Ld221</t>
  </si>
  <si>
    <t>Ld222</t>
  </si>
  <si>
    <t>Ld223</t>
  </si>
  <si>
    <t>Ld224</t>
  </si>
  <si>
    <t>Ld225</t>
  </si>
  <si>
    <t>Ld227</t>
  </si>
  <si>
    <t>Ld228</t>
  </si>
  <si>
    <t>Ld229</t>
  </si>
  <si>
    <t>Ld23</t>
  </si>
  <si>
    <t>Ld231</t>
  </si>
  <si>
    <t>Ld232</t>
  </si>
  <si>
    <t>Ld234</t>
  </si>
  <si>
    <t>Ld235</t>
  </si>
  <si>
    <t>Ld238</t>
  </si>
  <si>
    <t>Ld24</t>
  </si>
  <si>
    <t>Ld243</t>
  </si>
  <si>
    <t>Ld245</t>
  </si>
  <si>
    <t>Ld246</t>
  </si>
  <si>
    <t>Ld247</t>
  </si>
  <si>
    <t>Ld248</t>
  </si>
  <si>
    <t>Ld25</t>
  </si>
  <si>
    <t>Ld26</t>
  </si>
  <si>
    <t>Ld27</t>
  </si>
  <si>
    <t>Ld281</t>
  </si>
  <si>
    <t>Ld3</t>
  </si>
  <si>
    <t>Ld319</t>
  </si>
  <si>
    <t>Ld320</t>
  </si>
  <si>
    <t>Ld323</t>
  </si>
  <si>
    <t>Ld33</t>
  </si>
  <si>
    <t>Ld34</t>
  </si>
  <si>
    <t>Ld35</t>
  </si>
  <si>
    <t>Ld36</t>
  </si>
  <si>
    <t>Ld37</t>
  </si>
  <si>
    <t>Ld371</t>
  </si>
  <si>
    <t>Ld372</t>
  </si>
  <si>
    <t>Ld38</t>
  </si>
  <si>
    <t>Ld39</t>
  </si>
  <si>
    <t>Ld4</t>
  </si>
  <si>
    <t>Ld40</t>
  </si>
  <si>
    <t>Ld41</t>
  </si>
  <si>
    <t>Ld42</t>
  </si>
  <si>
    <t>Ld43</t>
  </si>
  <si>
    <t>Ld44</t>
  </si>
  <si>
    <t>Ld45</t>
  </si>
  <si>
    <t>Ld46</t>
  </si>
  <si>
    <t>Ld47</t>
  </si>
  <si>
    <t>Ld48</t>
  </si>
  <si>
    <t>Ld49</t>
  </si>
  <si>
    <t>Ld5</t>
  </si>
  <si>
    <t>Ld51</t>
  </si>
  <si>
    <t>Ld52</t>
  </si>
  <si>
    <t>Ld526</t>
  </si>
  <si>
    <t>Ld528</t>
  </si>
  <si>
    <t>Ld53</t>
  </si>
  <si>
    <t>Ld531</t>
  </si>
  <si>
    <t>Ld54</t>
  </si>
  <si>
    <t>Ld55</t>
  </si>
  <si>
    <t>Ld552</t>
  </si>
  <si>
    <t>Ld57</t>
  </si>
  <si>
    <t>Ld58</t>
  </si>
  <si>
    <t>Ld59</t>
  </si>
  <si>
    <t>Ld6</t>
  </si>
  <si>
    <t>Ld60</t>
  </si>
  <si>
    <t>Ld609</t>
  </si>
  <si>
    <t>Ld61</t>
  </si>
  <si>
    <t>Ld62</t>
  </si>
  <si>
    <t>Ld63</t>
  </si>
  <si>
    <t>Ld69</t>
  </si>
  <si>
    <t>Ld7</t>
  </si>
  <si>
    <t>Ld70</t>
  </si>
  <si>
    <t>Ld7039</t>
  </si>
  <si>
    <t>Ld71</t>
  </si>
  <si>
    <t>Ld72</t>
  </si>
  <si>
    <t>Ld73</t>
  </si>
  <si>
    <t>Ld74</t>
  </si>
  <si>
    <t>Ld76</t>
  </si>
  <si>
    <t>Ld77</t>
  </si>
  <si>
    <t>Ld771</t>
  </si>
  <si>
    <t>Ld772</t>
  </si>
  <si>
    <t>Ld78</t>
  </si>
  <si>
    <t>Ld789</t>
  </si>
  <si>
    <t>Ld79</t>
  </si>
  <si>
    <t>Ld8</t>
  </si>
  <si>
    <t>Ld80</t>
  </si>
  <si>
    <t>Ld81</t>
  </si>
  <si>
    <t>Ld84</t>
  </si>
  <si>
    <t>Ld86</t>
  </si>
  <si>
    <t>Ld87</t>
  </si>
  <si>
    <t>Ld88</t>
  </si>
  <si>
    <t>Ld89</t>
  </si>
  <si>
    <t>Ld9</t>
  </si>
  <si>
    <t>Ld90</t>
  </si>
  <si>
    <t>Ld9001</t>
  </si>
  <si>
    <t>Ld91</t>
  </si>
  <si>
    <t>Ld92</t>
  </si>
  <si>
    <t>Ld94</t>
  </si>
  <si>
    <t>Ld97</t>
  </si>
  <si>
    <t>Ld98</t>
  </si>
  <si>
    <t>Ld99</t>
  </si>
  <si>
    <t>Ld1</t>
  </si>
  <si>
    <t>Gen1</t>
  </si>
  <si>
    <t>Gen10</t>
  </si>
  <si>
    <t>Gen10029</t>
  </si>
  <si>
    <t>Gen108</t>
  </si>
  <si>
    <t>Gen11</t>
  </si>
  <si>
    <t>Gen119</t>
  </si>
  <si>
    <t>Gen124</t>
  </si>
  <si>
    <t>Gen125</t>
  </si>
  <si>
    <t>Gen126</t>
  </si>
  <si>
    <t>Gen130</t>
  </si>
  <si>
    <t>Gen138</t>
  </si>
  <si>
    <t>Gen139</t>
  </si>
  <si>
    <t>Gen141</t>
  </si>
  <si>
    <t>Gen143</t>
  </si>
  <si>
    <t>Gen146</t>
  </si>
  <si>
    <t>Gen147</t>
  </si>
  <si>
    <t>Gen149</t>
  </si>
  <si>
    <t>Gen152</t>
  </si>
  <si>
    <t>Gen153</t>
  </si>
  <si>
    <t>Gen156</t>
  </si>
  <si>
    <t>Gen166</t>
  </si>
  <si>
    <t>Gen17</t>
  </si>
  <si>
    <t>Gen170</t>
  </si>
  <si>
    <t>Gen171</t>
  </si>
  <si>
    <t>Gen175</t>
  </si>
  <si>
    <t>Gen177</t>
  </si>
  <si>
    <t>Gen186</t>
  </si>
  <si>
    <t>Gen187</t>
  </si>
  <si>
    <t>Gen191</t>
  </si>
  <si>
    <t>Gen198</t>
  </si>
  <si>
    <t>Gen2</t>
  </si>
  <si>
    <t>Gen20</t>
  </si>
  <si>
    <t>Gen214</t>
  </si>
  <si>
    <t>Gen220</t>
  </si>
  <si>
    <t>Gen221</t>
  </si>
  <si>
    <t>Gen222</t>
  </si>
  <si>
    <t>Gen227</t>
  </si>
  <si>
    <t>Gen23</t>
  </si>
  <si>
    <t>Gen230</t>
  </si>
  <si>
    <t>Gen236</t>
  </si>
  <si>
    <t>Gen238</t>
  </si>
  <si>
    <t>Gen239</t>
  </si>
  <si>
    <t>Gen24</t>
  </si>
  <si>
    <t>Gen241</t>
  </si>
  <si>
    <t>Gen242</t>
  </si>
  <si>
    <t>Gen243</t>
  </si>
  <si>
    <t>Gen3</t>
  </si>
  <si>
    <t>Gen372</t>
  </si>
  <si>
    <t>Gen44</t>
  </si>
  <si>
    <t>Gen45</t>
  </si>
  <si>
    <t>Gen49</t>
  </si>
  <si>
    <t>Gen55</t>
  </si>
  <si>
    <t>Gen57</t>
  </si>
  <si>
    <t>Gen61</t>
  </si>
  <si>
    <t>Gen62</t>
  </si>
  <si>
    <t>Gen63</t>
  </si>
  <si>
    <t>Gen7039</t>
  </si>
  <si>
    <t>Gen71</t>
  </si>
  <si>
    <t>Gen76</t>
  </si>
  <si>
    <t>Gen772</t>
  </si>
  <si>
    <t>Gen8</t>
  </si>
  <si>
    <t>Gen84</t>
  </si>
  <si>
    <t>Gen9001</t>
  </si>
  <si>
    <t>Gen91</t>
  </si>
  <si>
    <t>Gen92</t>
  </si>
  <si>
    <t>PV1</t>
  </si>
  <si>
    <t>PV10</t>
  </si>
  <si>
    <t>PV100</t>
  </si>
  <si>
    <t>PV102</t>
  </si>
  <si>
    <t>PV103</t>
  </si>
  <si>
    <t>PV104</t>
  </si>
  <si>
    <t>PV105</t>
  </si>
  <si>
    <t>PV107</t>
  </si>
  <si>
    <t>PV108</t>
  </si>
  <si>
    <t>PV109</t>
  </si>
  <si>
    <t>PV11</t>
  </si>
  <si>
    <t>PV110</t>
  </si>
  <si>
    <t>PV112</t>
  </si>
  <si>
    <t>PV113</t>
  </si>
  <si>
    <t>PV114</t>
  </si>
  <si>
    <t>PV13</t>
  </si>
  <si>
    <t>PV14</t>
  </si>
  <si>
    <t>PV144</t>
  </si>
  <si>
    <t>PV15</t>
  </si>
  <si>
    <t>PV16</t>
  </si>
  <si>
    <t>PV17</t>
  </si>
  <si>
    <t>PV18</t>
  </si>
  <si>
    <t>PV19</t>
  </si>
  <si>
    <t>PV2</t>
  </si>
  <si>
    <t>PV20</t>
  </si>
  <si>
    <t>PV201</t>
  </si>
  <si>
    <t>PV207</t>
  </si>
  <si>
    <t>PV21</t>
  </si>
  <si>
    <t>PV22</t>
  </si>
  <si>
    <t>PV23</t>
  </si>
  <si>
    <t>PV24</t>
  </si>
  <si>
    <t>PV25</t>
  </si>
  <si>
    <t>PV26</t>
  </si>
  <si>
    <t>PV27</t>
  </si>
  <si>
    <t>PV3</t>
  </si>
  <si>
    <t>PV319</t>
  </si>
  <si>
    <t>PV320</t>
  </si>
  <si>
    <t>PV323</t>
  </si>
  <si>
    <t>PV33</t>
  </si>
  <si>
    <t>PV34</t>
  </si>
  <si>
    <t>PV35</t>
  </si>
  <si>
    <t>PV36</t>
  </si>
  <si>
    <t>PV37</t>
  </si>
  <si>
    <t>PV371</t>
  </si>
  <si>
    <t>PV372</t>
  </si>
  <si>
    <t>PV38</t>
  </si>
  <si>
    <t>PV39</t>
  </si>
  <si>
    <t>PV4</t>
  </si>
  <si>
    <t>PV40</t>
  </si>
  <si>
    <t>PV41</t>
  </si>
  <si>
    <t>PV42</t>
  </si>
  <si>
    <t>PV43</t>
  </si>
  <si>
    <t>PV44</t>
  </si>
  <si>
    <t>PV45</t>
  </si>
  <si>
    <t>PV46</t>
  </si>
  <si>
    <t>PV47</t>
  </si>
  <si>
    <t>PV48</t>
  </si>
  <si>
    <t>PV49</t>
  </si>
  <si>
    <t>PV5</t>
  </si>
  <si>
    <t>PV51</t>
  </si>
  <si>
    <t>PV52</t>
  </si>
  <si>
    <t>PV526</t>
  </si>
  <si>
    <t>PV528</t>
  </si>
  <si>
    <t>PV53</t>
  </si>
  <si>
    <t>PV531</t>
  </si>
  <si>
    <t>PV54</t>
  </si>
  <si>
    <t>PV55</t>
  </si>
  <si>
    <t>PV552</t>
  </si>
  <si>
    <t>PV57</t>
  </si>
  <si>
    <t>PV58</t>
  </si>
  <si>
    <t>PV59</t>
  </si>
  <si>
    <t>PV6</t>
  </si>
  <si>
    <t>PV60</t>
  </si>
  <si>
    <t>PV609</t>
  </si>
  <si>
    <t>PV61</t>
  </si>
  <si>
    <t>PV62</t>
  </si>
  <si>
    <t>PV63</t>
  </si>
  <si>
    <t>PV69</t>
  </si>
  <si>
    <t>PV7</t>
  </si>
  <si>
    <t>PV70</t>
  </si>
  <si>
    <t>PV7039</t>
  </si>
  <si>
    <t>PV71</t>
  </si>
  <si>
    <t>PV72</t>
  </si>
  <si>
    <t>PV73</t>
  </si>
  <si>
    <t>PV76</t>
  </si>
  <si>
    <t>PV77</t>
  </si>
  <si>
    <t>PV771</t>
  </si>
  <si>
    <t>PV772</t>
  </si>
  <si>
    <t>PV78</t>
  </si>
  <si>
    <t>PV79</t>
  </si>
  <si>
    <t>PV8</t>
  </si>
  <si>
    <t>PV80</t>
  </si>
  <si>
    <t>PV81</t>
  </si>
  <si>
    <t>PV84</t>
  </si>
  <si>
    <t>PV86</t>
  </si>
  <si>
    <t>PV87</t>
  </si>
  <si>
    <t>PV88</t>
  </si>
  <si>
    <t>PV89</t>
  </si>
  <si>
    <t>PV9</t>
  </si>
  <si>
    <t>PV90</t>
  </si>
  <si>
    <t>PV9001</t>
  </si>
  <si>
    <t>PV91</t>
  </si>
  <si>
    <t>PV92</t>
  </si>
  <si>
    <t>PV94</t>
  </si>
  <si>
    <t>PV97</t>
  </si>
  <si>
    <t>PV98</t>
  </si>
  <si>
    <t>PV99</t>
  </si>
  <si>
    <t>FW.10</t>
  </si>
  <si>
    <t>FW.13</t>
  </si>
  <si>
    <t>FW.20</t>
  </si>
  <si>
    <t>FW.21</t>
  </si>
  <si>
    <t>FW.7</t>
  </si>
  <si>
    <t>FW.11</t>
  </si>
  <si>
    <t>FW.5</t>
  </si>
  <si>
    <t>FW.6</t>
  </si>
  <si>
    <t>FW.8</t>
  </si>
  <si>
    <t>FW.14</t>
  </si>
  <si>
    <t>FW.2</t>
  </si>
  <si>
    <t>FW.9</t>
  </si>
  <si>
    <t>FW.19</t>
  </si>
  <si>
    <t>FW.22</t>
  </si>
  <si>
    <t>FW.207</t>
  </si>
  <si>
    <t>FW.114</t>
  </si>
  <si>
    <t>FW.27</t>
  </si>
  <si>
    <t>FW.26</t>
  </si>
  <si>
    <t>FW.320</t>
  </si>
  <si>
    <t>FW.25</t>
  </si>
  <si>
    <t>FW.109</t>
  </si>
  <si>
    <t>FW.113</t>
  </si>
  <si>
    <t>FW.24</t>
  </si>
  <si>
    <t>FW.23</t>
  </si>
  <si>
    <t>FW.319</t>
  </si>
  <si>
    <t>FW.70</t>
  </si>
  <si>
    <t>FW.47</t>
  </si>
  <si>
    <t>FW.44</t>
  </si>
  <si>
    <t>FW.71</t>
  </si>
  <si>
    <t>FW.112</t>
  </si>
  <si>
    <t>FW.531</t>
  </si>
  <si>
    <t>FW.80</t>
  </si>
  <si>
    <t>FW.79</t>
  </si>
  <si>
    <t>FW.78</t>
  </si>
  <si>
    <t>FW.72</t>
  </si>
  <si>
    <t>FW.77</t>
  </si>
  <si>
    <t>FW.609</t>
  </si>
  <si>
    <t>FW.771</t>
  </si>
  <si>
    <t>FW.772</t>
  </si>
  <si>
    <t>FW.552</t>
  </si>
  <si>
    <t>FW.76</t>
  </si>
  <si>
    <t>FW.110</t>
  </si>
  <si>
    <t>FW.99</t>
  </si>
  <si>
    <t>FW.104</t>
  </si>
  <si>
    <t>FW.108</t>
  </si>
  <si>
    <t>FW.9001</t>
  </si>
  <si>
    <t>FW.35</t>
  </si>
  <si>
    <t>FW.36</t>
  </si>
  <si>
    <t>FW.45</t>
  </si>
  <si>
    <t>FW.88</t>
  </si>
  <si>
    <t>FW.81</t>
  </si>
  <si>
    <t>FW.4</t>
  </si>
  <si>
    <t>FW.18</t>
  </si>
  <si>
    <t>FW.16</t>
  </si>
  <si>
    <t>FW.89</t>
  </si>
  <si>
    <t>FW.15</t>
  </si>
  <si>
    <t>FW.17</t>
  </si>
  <si>
    <t>FW.97</t>
  </si>
  <si>
    <t>FW.34</t>
  </si>
  <si>
    <t>FW.86</t>
  </si>
  <si>
    <t>FW.41</t>
  </si>
  <si>
    <t>FW.38</t>
  </si>
  <si>
    <t>FW.98</t>
  </si>
  <si>
    <t>FW.103</t>
  </si>
  <si>
    <t>FW.53</t>
  </si>
  <si>
    <t>FW.33</t>
  </si>
  <si>
    <t>FW.43</t>
  </si>
  <si>
    <t>FW.107</t>
  </si>
  <si>
    <t>FW.105</t>
  </si>
  <si>
    <t>FW.48</t>
  </si>
  <si>
    <t>FW.92</t>
  </si>
  <si>
    <t>FW.90</t>
  </si>
  <si>
    <t>FW.37</t>
  </si>
  <si>
    <t>FW.371</t>
  </si>
  <si>
    <t>FW.372</t>
  </si>
  <si>
    <t>FW.201</t>
  </si>
  <si>
    <t>FW.63</t>
  </si>
  <si>
    <t>FW.526</t>
  </si>
  <si>
    <t>FW.57</t>
  </si>
  <si>
    <t>FW.55</t>
  </si>
  <si>
    <t>FW.60</t>
  </si>
  <si>
    <t>FW.87</t>
  </si>
  <si>
    <t>FW.94</t>
  </si>
  <si>
    <t>FW.52</t>
  </si>
  <si>
    <t>FW.58</t>
  </si>
  <si>
    <t>FW.61</t>
  </si>
  <si>
    <t>FW.62</t>
  </si>
  <si>
    <t>FW.51</t>
  </si>
  <si>
    <t>FW.49</t>
  </si>
  <si>
    <t>FW.54</t>
  </si>
  <si>
    <t>FW.323</t>
  </si>
  <si>
    <t>FW.100</t>
  </si>
  <si>
    <t>FW.39</t>
  </si>
  <si>
    <t>FW.7039</t>
  </si>
  <si>
    <t>FW.91</t>
  </si>
  <si>
    <t>FW.1</t>
  </si>
  <si>
    <t>FW.73</t>
  </si>
  <si>
    <t>FW.84</t>
  </si>
  <si>
    <t>FW.528</t>
  </si>
  <si>
    <t>FW.40</t>
  </si>
  <si>
    <t>FW.144</t>
  </si>
  <si>
    <t>FW.59</t>
  </si>
  <si>
    <t>FW.42</t>
  </si>
  <si>
    <t>FW.69</t>
  </si>
  <si>
    <t>FW.102</t>
  </si>
  <si>
    <t>FW.3</t>
  </si>
  <si>
    <t>FW.46</t>
  </si>
  <si>
    <t>ES104</t>
  </si>
  <si>
    <t>ES105</t>
  </si>
  <si>
    <t>ES11</t>
  </si>
  <si>
    <t>ES113</t>
  </si>
  <si>
    <t>ES17</t>
  </si>
  <si>
    <t>ES23</t>
  </si>
  <si>
    <t>ES3</t>
  </si>
  <si>
    <t>ES33</t>
  </si>
  <si>
    <t>ES36</t>
  </si>
  <si>
    <t>ES37</t>
  </si>
  <si>
    <t>ES371</t>
  </si>
  <si>
    <t>ES42</t>
  </si>
  <si>
    <t>ES49</t>
  </si>
  <si>
    <t>ES5</t>
  </si>
  <si>
    <t>ES54</t>
  </si>
  <si>
    <t>ES55</t>
  </si>
  <si>
    <t>ES63</t>
  </si>
  <si>
    <t>ES69</t>
  </si>
  <si>
    <t>ES7</t>
  </si>
  <si>
    <t>ES74</t>
  </si>
  <si>
    <t>ES77</t>
  </si>
  <si>
    <t>ES8</t>
  </si>
  <si>
    <t>ES84</t>
  </si>
  <si>
    <t>Element_Type</t>
  </si>
  <si>
    <t>Column_Name</t>
  </si>
  <si>
    <t>PF_Attribute</t>
  </si>
  <si>
    <t>Unit</t>
  </si>
  <si>
    <t>Format</t>
  </si>
  <si>
    <t>ElmTerm</t>
  </si>
  <si>
    <t>Nazwa</t>
  </si>
  <si>
    <t>loc_name</t>
  </si>
  <si>
    <t>-</t>
  </si>
  <si>
    <t>str</t>
  </si>
  <si>
    <t>uknom</t>
  </si>
  <si>
    <t>kV</t>
  </si>
  <si>
    <t>.3f</t>
  </si>
  <si>
    <t>m:u</t>
  </si>
  <si>
    <t>p.u.</t>
  </si>
  <si>
    <t>.4f</t>
  </si>
  <si>
    <t>m:phiu</t>
  </si>
  <si>
    <t>°</t>
  </si>
  <si>
    <t>.2f</t>
  </si>
  <si>
    <t>ElmLne</t>
  </si>
  <si>
    <t>Linia</t>
  </si>
  <si>
    <t>c:loading</t>
  </si>
  <si>
    <t>%</t>
  </si>
  <si>
    <t>Transformator</t>
  </si>
  <si>
    <t>Odczep</t>
  </si>
  <si>
    <t>.0f</t>
  </si>
  <si>
    <t>Un [kV]</t>
  </si>
  <si>
    <t>. 2f</t>
  </si>
  <si>
    <t>U [kV]</t>
  </si>
  <si>
    <t>U [p. u.]</t>
  </si>
  <si>
    <t>Kąt [°]</t>
  </si>
  <si>
    <t>Obciążenie [%]</t>
  </si>
  <si>
    <t>m:Ul</t>
  </si>
  <si>
    <t>Nominal Current</t>
  </si>
  <si>
    <t>kA</t>
  </si>
  <si>
    <t>Maximum Current</t>
  </si>
  <si>
    <t>c:curnom</t>
  </si>
  <si>
    <t>c:Imax</t>
  </si>
  <si>
    <t>ElmTr3</t>
  </si>
  <si>
    <t>c:n3tap_h</t>
  </si>
  <si>
    <t>Wyjściowe</t>
  </si>
  <si>
    <t>ES110</t>
  </si>
  <si>
    <t>Element_Name</t>
  </si>
  <si>
    <t>Attribute_P</t>
  </si>
  <si>
    <t>Pmin</t>
  </si>
  <si>
    <t>Pmax</t>
  </si>
  <si>
    <t>Attribute_Q</t>
  </si>
  <si>
    <t>Qmin</t>
  </si>
  <si>
    <t>Qmax</t>
  </si>
  <si>
    <t>ElmSym</t>
  </si>
  <si>
    <t>ElmGenstat</t>
  </si>
  <si>
    <t>ElmLod</t>
  </si>
  <si>
    <t>MATLAB</t>
  </si>
  <si>
    <t>Początkowe</t>
  </si>
  <si>
    <t>Poczatkowe</t>
  </si>
  <si>
    <t>Matlab</t>
  </si>
  <si>
    <t>Line_Name</t>
  </si>
  <si>
    <t>Can_Disable</t>
  </si>
  <si>
    <t>Priority</t>
  </si>
  <si>
    <t>Notes</t>
  </si>
  <si>
    <t>Linia rezerwowa</t>
  </si>
  <si>
    <t>Możliwa do wyłączenia</t>
  </si>
  <si>
    <t>Niski priorytet</t>
  </si>
  <si>
    <t>Parameter</t>
  </si>
  <si>
    <t>Value</t>
  </si>
  <si>
    <t>Description</t>
  </si>
  <si>
    <t>Max_Lines_Out</t>
  </si>
  <si>
    <t>Min_Lines_Out</t>
  </si>
  <si>
    <t>Maksymalna liczba linii do wyłączenia jednocześnie</t>
  </si>
  <si>
    <t>Minimalna liczba (opcjonalne, domyślnie 1)</t>
  </si>
  <si>
    <t>220kV</t>
  </si>
  <si>
    <t>400kV</t>
  </si>
  <si>
    <t>NIE wyłączać - przesyłowa</t>
  </si>
  <si>
    <t>Area 1-110kV</t>
  </si>
  <si>
    <t>Area 2-110kV</t>
  </si>
  <si>
    <t>Area 3-110kV</t>
  </si>
  <si>
    <t>Obcy obszar</t>
  </si>
  <si>
    <t>1.095312</t>
  </si>
  <si>
    <t>21.253207</t>
  </si>
  <si>
    <t>29.461837</t>
  </si>
  <si>
    <t>-1.200000</t>
  </si>
  <si>
    <t>29.875818</t>
  </si>
  <si>
    <t>-0.858733</t>
  </si>
  <si>
    <t>37.689717</t>
  </si>
  <si>
    <t>-2.444081</t>
  </si>
  <si>
    <t>21.781170</t>
  </si>
  <si>
    <t>-17.300000</t>
  </si>
  <si>
    <t>72.447538</t>
  </si>
  <si>
    <t>-84.549283</t>
  </si>
  <si>
    <t>50.701395</t>
  </si>
  <si>
    <t>-45.923863</t>
  </si>
  <si>
    <t>17.759515</t>
  </si>
  <si>
    <t>-110.100000</t>
  </si>
  <si>
    <t>64.336397</t>
  </si>
  <si>
    <t>-96.900000</t>
  </si>
  <si>
    <t>123.633596</t>
  </si>
  <si>
    <t>-98.300000</t>
  </si>
  <si>
    <t>8.534163</t>
  </si>
  <si>
    <t>-100.600000</t>
  </si>
  <si>
    <t>26.450890</t>
  </si>
  <si>
    <t>59.612363</t>
  </si>
  <si>
    <t>75.000458</t>
  </si>
  <si>
    <t>-79.900000</t>
  </si>
  <si>
    <t>40.781027</t>
  </si>
  <si>
    <t>-16.900000</t>
  </si>
  <si>
    <t>46.719644</t>
  </si>
  <si>
    <t>-4.600000</t>
  </si>
  <si>
    <t>0.248788</t>
  </si>
  <si>
    <t>-2.700000</t>
  </si>
  <si>
    <t>8.241469</t>
  </si>
  <si>
    <t>143.633676</t>
  </si>
  <si>
    <t>0.000000</t>
  </si>
  <si>
    <t>-25.400000</t>
  </si>
  <si>
    <t>67.590736</t>
  </si>
  <si>
    <t>-30.500000</t>
  </si>
  <si>
    <t>41.200326</t>
  </si>
  <si>
    <t>-8.600000</t>
  </si>
  <si>
    <t>-5.294447</t>
  </si>
  <si>
    <t>18.347489</t>
  </si>
  <si>
    <t>64.500000</t>
  </si>
  <si>
    <t>58.506268</t>
  </si>
  <si>
    <t>-6.300000</t>
  </si>
  <si>
    <t>15.506496</t>
  </si>
  <si>
    <t>-10.400000</t>
  </si>
  <si>
    <t>-20.100000</t>
  </si>
  <si>
    <t>5.111893</t>
  </si>
  <si>
    <t>-48.800000</t>
  </si>
  <si>
    <t>0.684622</t>
  </si>
  <si>
    <t>-0.174656</t>
  </si>
  <si>
    <t>-191.419251</t>
  </si>
  <si>
    <t>-219.345845</t>
  </si>
  <si>
    <t>-248.507124</t>
  </si>
  <si>
    <t>-192.390118</t>
  </si>
  <si>
    <t>81.208361</t>
  </si>
  <si>
    <t>6.300000</t>
  </si>
  <si>
    <t>195.695968</t>
  </si>
  <si>
    <t>2.750510</t>
  </si>
  <si>
    <t>99.992340</t>
  </si>
  <si>
    <t>7.000000</t>
  </si>
  <si>
    <t>29.779595</t>
  </si>
  <si>
    <t>-4.500000</t>
  </si>
  <si>
    <t>mnożnik</t>
  </si>
  <si>
    <t>Wył</t>
  </si>
  <si>
    <t>Linia wyłączona w n-1</t>
  </si>
  <si>
    <t>3.448632</t>
  </si>
  <si>
    <t>-72.056516</t>
  </si>
  <si>
    <t>50.034211</t>
  </si>
  <si>
    <t>36.511085</t>
  </si>
  <si>
    <t>-0.987729</t>
  </si>
  <si>
    <t>31.695605</t>
  </si>
  <si>
    <t>53.073133</t>
  </si>
  <si>
    <t>33.599340</t>
  </si>
  <si>
    <t>67.623943</t>
  </si>
  <si>
    <t>36.486033</t>
  </si>
  <si>
    <t>11.631022</t>
  </si>
  <si>
    <t>-6.850199</t>
  </si>
  <si>
    <t>0.715689</t>
  </si>
  <si>
    <t>-65.448130</t>
  </si>
  <si>
    <t>34.215523</t>
  </si>
  <si>
    <t>48.373174</t>
  </si>
  <si>
    <t>8.136452</t>
  </si>
  <si>
    <t>115.282853</t>
  </si>
  <si>
    <t>51.847021</t>
  </si>
  <si>
    <t>23.431296</t>
  </si>
  <si>
    <t>3.130943</t>
  </si>
  <si>
    <t>4.462944</t>
  </si>
  <si>
    <t>123.603245</t>
  </si>
  <si>
    <t>34.783185</t>
  </si>
  <si>
    <t>0.161619</t>
  </si>
  <si>
    <t>31.511771</t>
  </si>
  <si>
    <t>0.566863</t>
  </si>
  <si>
    <t>92.787132</t>
  </si>
  <si>
    <t>-51.874287</t>
  </si>
  <si>
    <t>28.722659</t>
  </si>
  <si>
    <t>0.001375</t>
  </si>
  <si>
    <t>39.167557</t>
  </si>
  <si>
    <t>83.000000</t>
  </si>
  <si>
    <t>0.674528</t>
  </si>
  <si>
    <t>0.400000</t>
  </si>
  <si>
    <t>49.265308</t>
  </si>
  <si>
    <t>-207.839136</t>
  </si>
  <si>
    <t>-247.061862</t>
  </si>
  <si>
    <t>-148.237661</t>
  </si>
  <si>
    <t>146.059400</t>
  </si>
  <si>
    <t>5.439050</t>
  </si>
  <si>
    <t>223.925793</t>
  </si>
  <si>
    <t>-4.955381</t>
  </si>
  <si>
    <t>103.635528</t>
  </si>
  <si>
    <t>-1.387103</t>
  </si>
  <si>
    <t>41.498987</t>
  </si>
  <si>
    <t>4.500000</t>
  </si>
  <si>
    <t>Obs</t>
  </si>
  <si>
    <t>Linia Obserwowana</t>
  </si>
  <si>
    <t>mag</t>
  </si>
  <si>
    <t>Area 1</t>
  </si>
  <si>
    <t>Area 3</t>
  </si>
  <si>
    <t>Area 2</t>
  </si>
  <si>
    <t>ES4</t>
  </si>
  <si>
    <t>ES24</t>
  </si>
  <si>
    <t>GenSta1</t>
  </si>
  <si>
    <t>GenSta10</t>
  </si>
  <si>
    <t>GenSta108</t>
  </si>
  <si>
    <t>GenSta11</t>
  </si>
  <si>
    <t>GenSta17</t>
  </si>
  <si>
    <t>GenSta2</t>
  </si>
  <si>
    <t>GenSta20</t>
  </si>
  <si>
    <t>GenSta23</t>
  </si>
  <si>
    <t>GenSta24</t>
  </si>
  <si>
    <t>GenSta3</t>
  </si>
  <si>
    <t>GenSta372</t>
  </si>
  <si>
    <t>GenSta44</t>
  </si>
  <si>
    <t>GenSta45</t>
  </si>
  <si>
    <t>GenSta49</t>
  </si>
  <si>
    <t>GenSta55</t>
  </si>
  <si>
    <t>GenSta57</t>
  </si>
  <si>
    <t>GenSta61</t>
  </si>
  <si>
    <t>GenSta62</t>
  </si>
  <si>
    <t>GenSta63</t>
  </si>
  <si>
    <t>GenSta7039</t>
  </si>
  <si>
    <t>GenSta71</t>
  </si>
  <si>
    <t>GenSta76</t>
  </si>
  <si>
    <t>GenSta772</t>
  </si>
  <si>
    <t>GenSta8</t>
  </si>
  <si>
    <t>GenSta84</t>
  </si>
  <si>
    <t>GenSta9001</t>
  </si>
  <si>
    <t>GenSta91</t>
  </si>
  <si>
    <t>GenSta92</t>
  </si>
  <si>
    <t>Gen46</t>
  </si>
  <si>
    <t>Gen74</t>
  </si>
  <si>
    <t>GenSta5</t>
  </si>
  <si>
    <t>GenSta77</t>
  </si>
  <si>
    <t>GenSta79</t>
  </si>
  <si>
    <t>odb</t>
  </si>
  <si>
    <t>StatES11</t>
  </si>
  <si>
    <t>StatES23</t>
  </si>
  <si>
    <t>StatES7</t>
  </si>
  <si>
    <t>StatES74</t>
  </si>
  <si>
    <t>StatES77</t>
  </si>
  <si>
    <t>StatGenSta1</t>
  </si>
  <si>
    <t>StatGenSta10</t>
  </si>
  <si>
    <t>StatGenSta108</t>
  </si>
  <si>
    <t>StatGenSta11</t>
  </si>
  <si>
    <t>StatGenSta17</t>
  </si>
  <si>
    <t>StatGenSta2</t>
  </si>
  <si>
    <t>StatGenSta20</t>
  </si>
  <si>
    <t>StatGenSta23</t>
  </si>
  <si>
    <t>StatGenSta44</t>
  </si>
  <si>
    <t>StatGenSta49</t>
  </si>
  <si>
    <t>StatGenSta5</t>
  </si>
  <si>
    <t>StatGenSta55</t>
  </si>
  <si>
    <t>StatGenSta57</t>
  </si>
  <si>
    <t>StatGenSta61</t>
  </si>
  <si>
    <t>StatGenSta63</t>
  </si>
  <si>
    <t>StatGenSta7039</t>
  </si>
  <si>
    <t>StatGenSta71</t>
  </si>
  <si>
    <t>StatGenSta76</t>
  </si>
  <si>
    <t>StatGenSta77</t>
  </si>
  <si>
    <t>StatGenSta79</t>
  </si>
  <si>
    <t>StatGenSta8</t>
  </si>
  <si>
    <t>StatGenSta84</t>
  </si>
  <si>
    <t>StatGenSta91</t>
  </si>
  <si>
    <t>StatGenSta92</t>
  </si>
  <si>
    <t>Popt</t>
  </si>
  <si>
    <t>N</t>
  </si>
  <si>
    <t>Qopt</t>
  </si>
  <si>
    <t xml:space="preserve">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</si>
</sst>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0"/>
      <color theme="1"/>
      <name val="Consolas"/>
      <family val="3"/>
      <charset val="238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indent="3"/>
    </xf>
    <xf numFmtId="11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HC193"/>
  <sheetViews>
    <sheetView workbookViewId="0">
      <selection activeCell="B12" sqref="B12"/>
    </sheetView>
  </sheetViews>
  <sheetFormatPr defaultRowHeight="15" x14ac:dyDescent="0.25"/>
  <sheetData>
    <row r="1" spans="1:211" x14ac:dyDescent="0.25">
      <c r="A1" s="1" t="s">
        <v>0</v>
      </c>
      <c r="B1" s="1" t="s">
        <v>1</v>
      </c>
      <c r="C1" s="1" t="s">
        <v>2</v>
      </c>
      <c r="K1" t="s">
        <v>537</v>
      </c>
      <c r="Q1" t="s">
        <v>551</v>
      </c>
      <c r="U1" t="s">
        <v>552</v>
      </c>
      <c r="AO1" s="3"/>
      <c r="AX1" s="3"/>
      <c r="BI1" s="3"/>
      <c r="BR1" s="3"/>
      <c r="BY1" s="3"/>
      <c r="CH1" s="3"/>
      <c r="GT1" s="3"/>
      <c r="HC1" s="3"/>
    </row>
    <row r="2" spans="1:211" x14ac:dyDescent="0.25">
      <c r="A2" t="s">
        <v>194</v>
      </c>
      <c r="B2">
        <f>_xlfn.XLOOKUP(A2,'Do podmianki'!A:A,'Do podmianki'!B:B,K2)</f>
        <v>6.7</v>
      </c>
      <c r="C2">
        <f>_xlfn.XLOOKUP(A2,'Do podmianki'!B:B,'Do podmianki'!C:C,L2)</f>
        <v>1.1000000000000001</v>
      </c>
      <c r="K2">
        <v>6.7</v>
      </c>
      <c r="L2">
        <v>1.1000000000000001</v>
      </c>
      <c r="Q2">
        <v>6.7</v>
      </c>
      <c r="R2">
        <v>1.1000000000000001</v>
      </c>
      <c r="U2">
        <v>12.285377</v>
      </c>
      <c r="V2">
        <v>1.1000000000000001</v>
      </c>
    </row>
    <row r="3" spans="1:211" x14ac:dyDescent="0.25">
      <c r="A3" t="s">
        <v>3</v>
      </c>
      <c r="B3">
        <f>_xlfn.XLOOKUP(A3,'Do podmianki'!A:A,'Do podmianki'!B:B,K3)</f>
        <v>7.5</v>
      </c>
      <c r="C3">
        <f>_xlfn.XLOOKUP(A3,'Do podmianki'!B:B,'Do podmianki'!C:C,L3)</f>
        <v>1.7</v>
      </c>
      <c r="K3">
        <v>7.5</v>
      </c>
      <c r="L3">
        <v>1.7</v>
      </c>
      <c r="Q3">
        <v>7.5</v>
      </c>
      <c r="R3">
        <v>1.7</v>
      </c>
      <c r="U3">
        <v>20.20262</v>
      </c>
      <c r="V3">
        <v>1.7</v>
      </c>
    </row>
    <row r="4" spans="1:211" x14ac:dyDescent="0.25">
      <c r="A4" t="s">
        <v>4</v>
      </c>
      <c r="B4">
        <f>_xlfn.XLOOKUP(A4,'Do podmianki'!A:A,'Do podmianki'!B:B,K4)</f>
        <v>12.4</v>
      </c>
      <c r="C4">
        <f>_xlfn.XLOOKUP(A4,'Do podmianki'!B:B,'Do podmianki'!C:C,L4)</f>
        <v>0.9</v>
      </c>
      <c r="K4">
        <v>12.4</v>
      </c>
      <c r="L4">
        <v>0.9</v>
      </c>
      <c r="Q4">
        <v>12.4</v>
      </c>
      <c r="R4">
        <v>0.9</v>
      </c>
      <c r="U4">
        <v>10.6200259999999</v>
      </c>
      <c r="V4">
        <v>0.9</v>
      </c>
    </row>
    <row r="5" spans="1:211" x14ac:dyDescent="0.25">
      <c r="A5" t="s">
        <v>5</v>
      </c>
      <c r="B5">
        <f>_xlfn.XLOOKUP(A5,'Do podmianki'!A:A,'Do podmianki'!B:B,K5)</f>
        <v>6.3</v>
      </c>
      <c r="C5">
        <f>_xlfn.XLOOKUP(A5,'Do podmianki'!B:B,'Do podmianki'!C:C,L5)</f>
        <v>0.4</v>
      </c>
      <c r="K5">
        <v>6.3</v>
      </c>
      <c r="L5">
        <v>0.4</v>
      </c>
      <c r="Q5">
        <v>6.3</v>
      </c>
      <c r="R5">
        <v>0.4</v>
      </c>
      <c r="U5">
        <v>4.3681340000000004</v>
      </c>
      <c r="V5">
        <v>0.4</v>
      </c>
    </row>
    <row r="6" spans="1:211" x14ac:dyDescent="0.25">
      <c r="A6" t="s">
        <v>6</v>
      </c>
      <c r="B6">
        <f>_xlfn.XLOOKUP(A6,'Do podmianki'!A:A,'Do podmianki'!B:B,K6)</f>
        <v>4.8</v>
      </c>
      <c r="C6">
        <f>_xlfn.XLOOKUP(A6,'Do podmianki'!B:B,'Do podmianki'!C:C,L6)</f>
        <v>0.1</v>
      </c>
      <c r="K6">
        <v>4.8</v>
      </c>
      <c r="L6">
        <v>0.1</v>
      </c>
      <c r="Q6">
        <v>4.8</v>
      </c>
      <c r="R6">
        <v>0.1</v>
      </c>
      <c r="U6">
        <v>1.3650420000000001</v>
      </c>
      <c r="V6">
        <v>0.1</v>
      </c>
    </row>
    <row r="7" spans="1:211" x14ac:dyDescent="0.25">
      <c r="A7" t="s">
        <v>7</v>
      </c>
      <c r="B7">
        <f>_xlfn.XLOOKUP(A7,'Do podmianki'!A:A,'Do podmianki'!B:B,K7)</f>
        <v>8.3000000000000007</v>
      </c>
      <c r="C7">
        <f>_xlfn.XLOOKUP(A7,'Do podmianki'!B:B,'Do podmianki'!C:C,L7)</f>
        <v>0.6</v>
      </c>
      <c r="K7">
        <v>8.3000000000000007</v>
      </c>
      <c r="L7">
        <v>0.6</v>
      </c>
      <c r="Q7">
        <v>8.3000000000000007</v>
      </c>
      <c r="R7">
        <v>0.6</v>
      </c>
      <c r="U7">
        <v>6.770607</v>
      </c>
      <c r="V7">
        <v>0.6</v>
      </c>
    </row>
    <row r="8" spans="1:211" x14ac:dyDescent="0.25">
      <c r="A8" t="s">
        <v>8</v>
      </c>
      <c r="B8">
        <f>_xlfn.XLOOKUP(A8,'Do podmianki'!A:A,'Do podmianki'!B:B,K8)</f>
        <v>4.2</v>
      </c>
      <c r="C8">
        <f>_xlfn.XLOOKUP(A8,'Do podmianki'!B:B,'Do podmianki'!C:C,L8)</f>
        <v>0.1</v>
      </c>
      <c r="K8">
        <v>4.2</v>
      </c>
      <c r="L8">
        <v>0.1</v>
      </c>
      <c r="Q8">
        <v>4.2</v>
      </c>
      <c r="R8">
        <v>0.1</v>
      </c>
      <c r="U8">
        <v>0.627919</v>
      </c>
      <c r="V8">
        <v>0.1</v>
      </c>
    </row>
    <row r="9" spans="1:211" x14ac:dyDescent="0.25">
      <c r="A9" t="s">
        <v>9</v>
      </c>
      <c r="B9">
        <f>_xlfn.XLOOKUP(A9,'Do podmianki'!A:A,'Do podmianki'!B:B,K9)</f>
        <v>11.6</v>
      </c>
      <c r="C9">
        <f>_xlfn.XLOOKUP(A9,'Do podmianki'!B:B,'Do podmianki'!C:C,L9)</f>
        <v>1.6</v>
      </c>
      <c r="K9">
        <v>11.6</v>
      </c>
      <c r="L9">
        <v>1.6</v>
      </c>
      <c r="Q9">
        <v>11.6</v>
      </c>
      <c r="R9">
        <v>1.6</v>
      </c>
      <c r="U9">
        <v>18.673773000000001</v>
      </c>
      <c r="V9">
        <v>1.6</v>
      </c>
    </row>
    <row r="10" spans="1:211" x14ac:dyDescent="0.25">
      <c r="A10" t="s">
        <v>10</v>
      </c>
      <c r="B10">
        <f>_xlfn.XLOOKUP(A10,'Do podmianki'!A:A,'Do podmianki'!B:B,K10)</f>
        <v>8.1999999999999993</v>
      </c>
      <c r="C10">
        <f>_xlfn.XLOOKUP(A10,'Do podmianki'!B:B,'Do podmianki'!C:C,L10)</f>
        <v>0.4</v>
      </c>
      <c r="K10">
        <v>8.1999999999999993</v>
      </c>
      <c r="L10">
        <v>0.4</v>
      </c>
      <c r="Q10">
        <v>8.1999999999999993</v>
      </c>
      <c r="R10">
        <v>0.4</v>
      </c>
      <c r="U10">
        <v>4.1906790000000003</v>
      </c>
      <c r="V10">
        <v>0.4</v>
      </c>
    </row>
    <row r="11" spans="1:211" x14ac:dyDescent="0.25">
      <c r="A11" t="s">
        <v>11</v>
      </c>
      <c r="B11">
        <f>_xlfn.XLOOKUP(A11,'Do podmianki'!A:A,'Do podmianki'!B:B,K11)</f>
        <v>10</v>
      </c>
      <c r="C11">
        <f>_xlfn.XLOOKUP(A11,'Do podmianki'!B:B,'Do podmianki'!C:C,L11)</f>
        <v>1</v>
      </c>
      <c r="K11">
        <v>10</v>
      </c>
      <c r="L11">
        <v>1</v>
      </c>
      <c r="Q11">
        <v>10</v>
      </c>
      <c r="R11">
        <v>1</v>
      </c>
      <c r="U11">
        <v>11.3298469999999</v>
      </c>
      <c r="V11">
        <v>1</v>
      </c>
    </row>
    <row r="12" spans="1:211" x14ac:dyDescent="0.25">
      <c r="A12" t="s">
        <v>12</v>
      </c>
      <c r="B12">
        <f>_xlfn.XLOOKUP(A12,'Do podmianki'!A:A,'Do podmianki'!B:B,K12)</f>
        <v>8.3000000000000007</v>
      </c>
      <c r="C12">
        <f>_xlfn.XLOOKUP(A12,'Do podmianki'!B:B,'Do podmianki'!C:C,L12)</f>
        <v>0.7</v>
      </c>
      <c r="K12">
        <v>8.3000000000000007</v>
      </c>
      <c r="L12">
        <v>0.7</v>
      </c>
      <c r="Q12">
        <v>8.3000000000000007</v>
      </c>
      <c r="R12">
        <v>0.7</v>
      </c>
      <c r="U12">
        <v>8.5997640000000004</v>
      </c>
      <c r="V12">
        <v>0.7</v>
      </c>
    </row>
    <row r="13" spans="1:211" x14ac:dyDescent="0.25">
      <c r="A13" t="s">
        <v>13</v>
      </c>
      <c r="B13">
        <f>_xlfn.XLOOKUP(A13,'Do podmianki'!A:A,'Do podmianki'!B:B,K13)</f>
        <v>6</v>
      </c>
      <c r="C13">
        <f>_xlfn.XLOOKUP(A13,'Do podmianki'!B:B,'Do podmianki'!C:C,L13)</f>
        <v>0.2</v>
      </c>
      <c r="K13">
        <v>6</v>
      </c>
      <c r="L13">
        <v>0.2</v>
      </c>
      <c r="Q13">
        <v>6</v>
      </c>
      <c r="R13">
        <v>0.2</v>
      </c>
      <c r="U13">
        <v>2.6754820000000001</v>
      </c>
      <c r="V13">
        <v>0.2</v>
      </c>
    </row>
    <row r="14" spans="1:211" x14ac:dyDescent="0.25">
      <c r="A14" t="s">
        <v>14</v>
      </c>
      <c r="B14">
        <f>_xlfn.XLOOKUP(A14,'Do podmianki'!A:A,'Do podmianki'!B:B,K14)</f>
        <v>4</v>
      </c>
      <c r="C14">
        <f>_xlfn.XLOOKUP(A14,'Do podmianki'!B:B,'Do podmianki'!C:C,L14)</f>
        <v>0.3</v>
      </c>
      <c r="K14">
        <v>4</v>
      </c>
      <c r="L14">
        <v>0.3</v>
      </c>
      <c r="Q14">
        <v>4</v>
      </c>
      <c r="R14">
        <v>0.3</v>
      </c>
      <c r="U14">
        <v>8.8973040000000001</v>
      </c>
      <c r="V14">
        <v>0.3</v>
      </c>
    </row>
    <row r="15" spans="1:211" x14ac:dyDescent="0.25">
      <c r="A15" t="s">
        <v>15</v>
      </c>
      <c r="B15">
        <f>_xlfn.XLOOKUP(A15,'Do podmianki'!A:A,'Do podmianki'!B:B,K15)</f>
        <v>6.4</v>
      </c>
      <c r="C15">
        <f>_xlfn.XLOOKUP(A15,'Do podmianki'!B:B,'Do podmianki'!C:C,L15)</f>
        <v>0.2</v>
      </c>
      <c r="K15">
        <v>6.4</v>
      </c>
      <c r="L15">
        <v>0.2</v>
      </c>
      <c r="Q15">
        <v>6.4</v>
      </c>
      <c r="R15">
        <v>0.2</v>
      </c>
      <c r="U15">
        <v>2.4843760000000001</v>
      </c>
      <c r="V15">
        <v>0.2</v>
      </c>
    </row>
    <row r="16" spans="1:211" x14ac:dyDescent="0.25">
      <c r="A16" t="s">
        <v>16</v>
      </c>
      <c r="B16">
        <f>_xlfn.XLOOKUP(A16,'Do podmianki'!A:A,'Do podmianki'!B:B,K16)</f>
        <v>4.5</v>
      </c>
      <c r="C16">
        <f>_xlfn.XLOOKUP(A16,'Do podmianki'!B:B,'Do podmianki'!C:C,L16)</f>
        <v>0.2</v>
      </c>
      <c r="K16">
        <v>4.5</v>
      </c>
      <c r="L16">
        <v>0.2</v>
      </c>
      <c r="Q16">
        <v>4.5</v>
      </c>
      <c r="R16">
        <v>0.2</v>
      </c>
      <c r="U16">
        <v>1.924709</v>
      </c>
      <c r="V16">
        <v>0.2</v>
      </c>
    </row>
    <row r="17" spans="1:22" x14ac:dyDescent="0.25">
      <c r="A17" t="s">
        <v>17</v>
      </c>
      <c r="B17">
        <f>_xlfn.XLOOKUP(A17,'Do podmianki'!A:A,'Do podmianki'!B:B,K17)</f>
        <v>5</v>
      </c>
      <c r="C17">
        <f>_xlfn.XLOOKUP(A17,'Do podmianki'!B:B,'Do podmianki'!C:C,L17)</f>
        <v>0.2</v>
      </c>
      <c r="K17">
        <v>5</v>
      </c>
      <c r="L17">
        <v>0.2</v>
      </c>
      <c r="Q17">
        <v>5</v>
      </c>
      <c r="R17">
        <v>0.2</v>
      </c>
      <c r="U17">
        <v>2.6754820000000001</v>
      </c>
      <c r="V17">
        <v>0.2</v>
      </c>
    </row>
    <row r="18" spans="1:22" x14ac:dyDescent="0.25">
      <c r="A18" t="s">
        <v>18</v>
      </c>
      <c r="B18">
        <f>_xlfn.XLOOKUP(A18,'Do podmianki'!A:A,'Do podmianki'!B:B,K18)</f>
        <v>10.199999999999999</v>
      </c>
      <c r="C18">
        <f>_xlfn.XLOOKUP(A18,'Do podmianki'!B:B,'Do podmianki'!C:C,L18)</f>
        <v>0.3</v>
      </c>
      <c r="K18">
        <v>10.199999999999999</v>
      </c>
      <c r="L18">
        <v>0.3</v>
      </c>
      <c r="Q18">
        <v>10.199999999999999</v>
      </c>
      <c r="R18">
        <v>0.3</v>
      </c>
      <c r="U18">
        <v>3.5764100000000001</v>
      </c>
      <c r="V18">
        <v>0.3</v>
      </c>
    </row>
    <row r="19" spans="1:22" x14ac:dyDescent="0.25">
      <c r="A19" t="s">
        <v>19</v>
      </c>
      <c r="B19">
        <f>_xlfn.XLOOKUP(A19,'Do podmianki'!A:A,'Do podmianki'!B:B,K19)</f>
        <v>90</v>
      </c>
      <c r="C19">
        <f>_xlfn.XLOOKUP(A19,'Do podmianki'!B:B,'Do podmianki'!C:C,L19)</f>
        <v>6.3</v>
      </c>
      <c r="K19">
        <v>90</v>
      </c>
      <c r="L19">
        <v>6.3</v>
      </c>
      <c r="Q19">
        <v>90</v>
      </c>
      <c r="R19">
        <v>6.3</v>
      </c>
      <c r="U19">
        <v>73.029739000000006</v>
      </c>
      <c r="V19">
        <v>6.3</v>
      </c>
    </row>
    <row r="20" spans="1:22" x14ac:dyDescent="0.25">
      <c r="A20" t="s">
        <v>20</v>
      </c>
      <c r="B20">
        <v>12</v>
      </c>
      <c r="C20">
        <f>_xlfn.XLOOKUP(A20,'Do podmianki'!B:B,'Do podmianki'!C:C,L20)</f>
        <v>0.9</v>
      </c>
      <c r="K20">
        <v>26.2</v>
      </c>
      <c r="L20">
        <v>0.9</v>
      </c>
      <c r="Q20">
        <v>26.200001</v>
      </c>
      <c r="R20">
        <v>0.9</v>
      </c>
      <c r="U20">
        <v>10.647326</v>
      </c>
      <c r="V20">
        <v>0.9</v>
      </c>
    </row>
    <row r="21" spans="1:22" x14ac:dyDescent="0.25">
      <c r="A21" t="s">
        <v>21</v>
      </c>
      <c r="B21">
        <f>_xlfn.XLOOKUP(A21,'Do podmianki'!A:A,'Do podmianki'!B:B,K21)</f>
        <v>32</v>
      </c>
      <c r="C21">
        <f>_xlfn.XLOOKUP(A21,'Do podmianki'!B:B,'Do podmianki'!C:C,L21)</f>
        <v>3.2</v>
      </c>
      <c r="K21">
        <v>32</v>
      </c>
      <c r="L21">
        <v>3.2</v>
      </c>
      <c r="Q21">
        <v>32</v>
      </c>
      <c r="R21">
        <v>3.2</v>
      </c>
      <c r="U21">
        <v>37.729754999999898</v>
      </c>
      <c r="V21">
        <v>3.2</v>
      </c>
    </row>
    <row r="22" spans="1:22" x14ac:dyDescent="0.25">
      <c r="A22" t="s">
        <v>22</v>
      </c>
      <c r="B22">
        <f>_xlfn.XLOOKUP(A22,'Do podmianki'!A:A,'Do podmianki'!B:B,K22)</f>
        <v>8</v>
      </c>
      <c r="C22">
        <f>_xlfn.XLOOKUP(A22,'Do podmianki'!B:B,'Do podmianki'!C:C,L22)</f>
        <v>0.7</v>
      </c>
      <c r="K22">
        <v>8</v>
      </c>
      <c r="L22">
        <v>0.7</v>
      </c>
      <c r="Q22">
        <v>8</v>
      </c>
      <c r="R22">
        <v>0.7</v>
      </c>
      <c r="U22">
        <v>7.9035919999999997</v>
      </c>
      <c r="V22">
        <v>0.7</v>
      </c>
    </row>
    <row r="23" spans="1:22" x14ac:dyDescent="0.25">
      <c r="A23" t="s">
        <v>23</v>
      </c>
      <c r="B23">
        <f>_xlfn.XLOOKUP(A23,'Do podmianki'!A:A,'Do podmianki'!B:B,K23)</f>
        <v>113</v>
      </c>
      <c r="C23">
        <f>_xlfn.XLOOKUP(A23,'Do podmianki'!B:B,'Do podmianki'!C:C,L23)</f>
        <v>4.5</v>
      </c>
      <c r="K23">
        <v>113</v>
      </c>
      <c r="L23">
        <v>4.5</v>
      </c>
      <c r="Q23">
        <v>113</v>
      </c>
      <c r="R23">
        <v>4.5</v>
      </c>
      <c r="U23">
        <v>51.980792999999899</v>
      </c>
      <c r="V23">
        <v>4.5</v>
      </c>
    </row>
    <row r="24" spans="1:22" x14ac:dyDescent="0.25">
      <c r="A24" t="s">
        <v>24</v>
      </c>
      <c r="B24">
        <f>_xlfn.XLOOKUP(A24,'Do podmianki'!A:A,'Do podmianki'!B:B,K24)</f>
        <v>7.5</v>
      </c>
      <c r="C24">
        <f>_xlfn.XLOOKUP(A24,'Do podmianki'!B:B,'Do podmianki'!C:C,L24)</f>
        <v>0.7</v>
      </c>
      <c r="K24">
        <v>7.5</v>
      </c>
      <c r="L24">
        <v>0.7</v>
      </c>
      <c r="Q24">
        <v>7.5</v>
      </c>
      <c r="R24">
        <v>0.7</v>
      </c>
      <c r="U24">
        <v>7.917243</v>
      </c>
      <c r="V24">
        <v>0.7</v>
      </c>
    </row>
    <row r="25" spans="1:22" x14ac:dyDescent="0.25">
      <c r="A25" t="s">
        <v>25</v>
      </c>
      <c r="B25">
        <f>_xlfn.XLOOKUP(A25,'Do podmianki'!A:A,'Do podmianki'!B:B,K25)</f>
        <v>9.6999999999999993</v>
      </c>
      <c r="C25">
        <f>_xlfn.XLOOKUP(A25,'Do podmianki'!B:B,'Do podmianki'!C:C,L25)</f>
        <v>2</v>
      </c>
      <c r="K25">
        <v>9.6999999999999993</v>
      </c>
      <c r="L25">
        <v>2</v>
      </c>
      <c r="Q25">
        <v>9.6999999999999993</v>
      </c>
      <c r="R25">
        <v>2</v>
      </c>
      <c r="U25">
        <v>23.096508</v>
      </c>
      <c r="V25">
        <v>2</v>
      </c>
    </row>
    <row r="26" spans="1:22" x14ac:dyDescent="0.25">
      <c r="A26" t="s">
        <v>26</v>
      </c>
      <c r="B26">
        <f>_xlfn.XLOOKUP(A26,'Do podmianki'!A:A,'Do podmianki'!B:B,K26)</f>
        <v>14</v>
      </c>
      <c r="C26">
        <f>_xlfn.XLOOKUP(A26,'Do podmianki'!B:B,'Do podmianki'!C:C,L26)</f>
        <v>0.6</v>
      </c>
      <c r="K26">
        <v>14</v>
      </c>
      <c r="L26">
        <v>0.6</v>
      </c>
      <c r="Q26">
        <v>14</v>
      </c>
      <c r="R26">
        <v>0.6</v>
      </c>
      <c r="U26">
        <v>7.535031</v>
      </c>
      <c r="V26">
        <v>0.6</v>
      </c>
    </row>
    <row r="27" spans="1:22" x14ac:dyDescent="0.25">
      <c r="A27" t="s">
        <v>27</v>
      </c>
      <c r="B27">
        <f>_xlfn.XLOOKUP(A27,'Do podmianki'!A:A,'Do podmianki'!B:B,K27)</f>
        <v>88.2</v>
      </c>
      <c r="C27">
        <f>_xlfn.XLOOKUP(A27,'Do podmianki'!B:B,'Do podmianki'!C:C,L27)</f>
        <v>3.2</v>
      </c>
      <c r="K27">
        <v>88.2</v>
      </c>
      <c r="L27">
        <v>3.2</v>
      </c>
      <c r="Q27">
        <v>88.199996999999996</v>
      </c>
      <c r="R27">
        <v>3.2</v>
      </c>
      <c r="U27">
        <v>37.347546000000001</v>
      </c>
      <c r="V27">
        <v>3.2</v>
      </c>
    </row>
    <row r="28" spans="1:22" x14ac:dyDescent="0.25">
      <c r="A28" t="s">
        <v>28</v>
      </c>
      <c r="B28">
        <f>_xlfn.XLOOKUP(A28,'Do podmianki'!A:A,'Do podmianki'!B:B,K28)</f>
        <v>125</v>
      </c>
      <c r="C28">
        <f>_xlfn.XLOOKUP(A28,'Do podmianki'!B:B,'Do podmianki'!C:C,L28)</f>
        <v>9.6999999999999993</v>
      </c>
      <c r="K28">
        <v>125</v>
      </c>
      <c r="L28">
        <v>9.6999999999999993</v>
      </c>
      <c r="Q28">
        <v>225</v>
      </c>
      <c r="R28">
        <v>9.6999999999999993</v>
      </c>
      <c r="U28" s="3">
        <v>112.848007</v>
      </c>
      <c r="V28">
        <v>9.6999999999999904</v>
      </c>
    </row>
    <row r="29" spans="1:22" x14ac:dyDescent="0.25">
      <c r="A29" t="s">
        <v>29</v>
      </c>
      <c r="B29">
        <f>_xlfn.XLOOKUP(A29,'Do podmianki'!A:A,'Do podmianki'!B:B,K29)</f>
        <v>26.5</v>
      </c>
      <c r="C29">
        <f>_xlfn.XLOOKUP(A29,'Do podmianki'!B:B,'Do podmianki'!C:C,L29)</f>
        <v>7</v>
      </c>
      <c r="K29">
        <v>26.5</v>
      </c>
      <c r="L29">
        <v>7</v>
      </c>
      <c r="Q29">
        <v>26.5</v>
      </c>
      <c r="R29">
        <v>7</v>
      </c>
      <c r="U29">
        <v>81.219986000000006</v>
      </c>
      <c r="V29">
        <v>7</v>
      </c>
    </row>
    <row r="30" spans="1:22" x14ac:dyDescent="0.25">
      <c r="A30" t="s">
        <v>30</v>
      </c>
      <c r="B30">
        <f>_xlfn.XLOOKUP(A30,'Do podmianki'!A:A,'Do podmianki'!B:B,K30)</f>
        <v>33</v>
      </c>
      <c r="C30">
        <f>_xlfn.XLOOKUP(A30,'Do podmianki'!B:B,'Do podmianki'!C:C,L30)</f>
        <v>1.9</v>
      </c>
      <c r="K30">
        <v>33</v>
      </c>
      <c r="L30">
        <v>1.9</v>
      </c>
      <c r="Q30">
        <v>33</v>
      </c>
      <c r="R30">
        <v>1.9</v>
      </c>
      <c r="U30">
        <v>11.8406699999999</v>
      </c>
      <c r="V30">
        <v>1.9</v>
      </c>
    </row>
    <row r="31" spans="1:22" x14ac:dyDescent="0.25">
      <c r="A31" t="s">
        <v>31</v>
      </c>
      <c r="B31">
        <f>_xlfn.XLOOKUP(A31,'Do podmianki'!A:A,'Do podmianki'!B:B,K31)</f>
        <v>46.25090058740188</v>
      </c>
      <c r="C31">
        <f>_xlfn.XLOOKUP(A31,'Do podmianki'!B:B,'Do podmianki'!C:C,L31)</f>
        <v>4.5</v>
      </c>
      <c r="K31">
        <v>51.6</v>
      </c>
      <c r="L31">
        <v>4.5</v>
      </c>
      <c r="Q31">
        <v>51.599997999999999</v>
      </c>
      <c r="R31">
        <v>4.5</v>
      </c>
      <c r="U31">
        <v>52.922671999999899</v>
      </c>
      <c r="V31">
        <v>4.5</v>
      </c>
    </row>
    <row r="32" spans="1:22" x14ac:dyDescent="0.25">
      <c r="A32" t="s">
        <v>32</v>
      </c>
      <c r="B32">
        <f>_xlfn.XLOOKUP(A32,'Do podmianki'!A:A,'Do podmianki'!B:B,K32)</f>
        <v>38.700000000000003</v>
      </c>
      <c r="C32">
        <f>_xlfn.XLOOKUP(A32,'Do podmianki'!B:B,'Do podmianki'!C:C,L32)</f>
        <v>1.7</v>
      </c>
      <c r="K32">
        <v>38.700000000000003</v>
      </c>
      <c r="L32">
        <v>1.7</v>
      </c>
      <c r="Q32">
        <v>38.700001</v>
      </c>
      <c r="R32">
        <v>1.7</v>
      </c>
      <c r="U32">
        <v>19.793106000000002</v>
      </c>
      <c r="V32">
        <v>1.7</v>
      </c>
    </row>
    <row r="33" spans="1:22" x14ac:dyDescent="0.25">
      <c r="A33" t="s">
        <v>33</v>
      </c>
      <c r="B33">
        <f>_xlfn.XLOOKUP(A33,'Do podmianki'!A:A,'Do podmianki'!B:B,K33)</f>
        <v>22</v>
      </c>
      <c r="C33">
        <f>_xlfn.XLOOKUP(A33,'Do podmianki'!B:B,'Do podmianki'!C:C,L33)</f>
        <v>0.7</v>
      </c>
      <c r="K33">
        <v>22</v>
      </c>
      <c r="L33">
        <v>0.7</v>
      </c>
      <c r="Q33">
        <v>22</v>
      </c>
      <c r="R33">
        <v>0.7</v>
      </c>
      <c r="U33">
        <v>7.7124860000000002</v>
      </c>
      <c r="V33">
        <v>0.7</v>
      </c>
    </row>
    <row r="34" spans="1:22" x14ac:dyDescent="0.25">
      <c r="A34" t="s">
        <v>34</v>
      </c>
      <c r="B34">
        <f>_xlfn.XLOOKUP(A34,'Do podmianki'!A:A,'Do podmianki'!B:B,K34)</f>
        <v>28.5</v>
      </c>
      <c r="C34">
        <f>_xlfn.XLOOKUP(A34,'Do podmianki'!B:B,'Do podmianki'!C:C,L34)</f>
        <v>1</v>
      </c>
      <c r="K34">
        <v>28.5</v>
      </c>
      <c r="L34">
        <v>1</v>
      </c>
      <c r="Q34">
        <v>28.5</v>
      </c>
      <c r="R34">
        <v>1</v>
      </c>
      <c r="U34">
        <v>12.217124</v>
      </c>
      <c r="V34">
        <v>1</v>
      </c>
    </row>
    <row r="35" spans="1:22" x14ac:dyDescent="0.25">
      <c r="A35" t="s">
        <v>35</v>
      </c>
      <c r="B35">
        <f>_xlfn.XLOOKUP(A35,'Do podmianki'!A:A,'Do podmianki'!B:B,K35)</f>
        <v>9.8000000000000007</v>
      </c>
      <c r="C35">
        <f>_xlfn.XLOOKUP(A35,'Do podmianki'!B:B,'Do podmianki'!C:C,L35)</f>
        <v>0.3</v>
      </c>
      <c r="K35">
        <v>9.8000000000000007</v>
      </c>
      <c r="L35">
        <v>0.3</v>
      </c>
      <c r="Q35">
        <v>9.8000000000000007</v>
      </c>
      <c r="R35">
        <v>0.3</v>
      </c>
      <c r="U35">
        <v>3.2761</v>
      </c>
      <c r="V35">
        <v>0.3</v>
      </c>
    </row>
    <row r="36" spans="1:22" x14ac:dyDescent="0.25">
      <c r="A36" t="s">
        <v>36</v>
      </c>
      <c r="B36">
        <f>_xlfn.XLOOKUP(A36,'Do podmianki'!A:A,'Do podmianki'!B:B,K36)</f>
        <v>10.4</v>
      </c>
      <c r="C36">
        <f>_xlfn.XLOOKUP(A36,'Do podmianki'!B:B,'Do podmianki'!C:C,L36)</f>
        <v>0.7</v>
      </c>
      <c r="K36">
        <v>10.4</v>
      </c>
      <c r="L36">
        <v>0.7</v>
      </c>
      <c r="Q36">
        <v>10.4</v>
      </c>
      <c r="R36">
        <v>0.7</v>
      </c>
      <c r="U36">
        <v>8.5997640000000004</v>
      </c>
      <c r="V36">
        <v>0.7</v>
      </c>
    </row>
    <row r="37" spans="1:22" x14ac:dyDescent="0.25">
      <c r="A37" t="s">
        <v>37</v>
      </c>
      <c r="B37">
        <f>_xlfn.XLOOKUP(A37,'Do podmianki'!A:A,'Do podmianki'!B:B,K37)</f>
        <v>27.8</v>
      </c>
      <c r="C37">
        <f>_xlfn.XLOOKUP(A37,'Do podmianki'!B:B,'Do podmianki'!C:C,L37)</f>
        <v>1.5</v>
      </c>
      <c r="K37">
        <v>27.8</v>
      </c>
      <c r="L37">
        <v>1.5</v>
      </c>
      <c r="Q37">
        <v>27.799999</v>
      </c>
      <c r="R37">
        <v>1.5</v>
      </c>
      <c r="U37">
        <v>17.295079999999899</v>
      </c>
      <c r="V37">
        <v>1.5</v>
      </c>
    </row>
    <row r="38" spans="1:22" x14ac:dyDescent="0.25">
      <c r="A38" t="s">
        <v>38</v>
      </c>
      <c r="B38">
        <f>_xlfn.XLOOKUP(A38,'Do podmianki'!A:A,'Do podmianki'!B:B,K38)</f>
        <v>5.2</v>
      </c>
      <c r="C38">
        <f>_xlfn.XLOOKUP(A38,'Do podmianki'!B:B,'Do podmianki'!C:C,L38)</f>
        <v>0.2</v>
      </c>
      <c r="K38">
        <v>5.2</v>
      </c>
      <c r="L38">
        <v>0.2</v>
      </c>
      <c r="Q38">
        <v>5.2</v>
      </c>
      <c r="R38">
        <v>0.2</v>
      </c>
      <c r="U38">
        <v>2.3205710000000002</v>
      </c>
      <c r="V38">
        <v>0.2</v>
      </c>
    </row>
    <row r="39" spans="1:22" x14ac:dyDescent="0.25">
      <c r="A39" t="s">
        <v>39</v>
      </c>
      <c r="B39">
        <f>_xlfn.XLOOKUP(A39,'Do podmianki'!A:A,'Do podmianki'!B:B,K39)</f>
        <v>13.3</v>
      </c>
      <c r="C39">
        <f>_xlfn.XLOOKUP(A39,'Do podmianki'!B:B,'Do podmianki'!C:C,L39)</f>
        <v>0.8</v>
      </c>
      <c r="K39">
        <v>13.3</v>
      </c>
      <c r="L39">
        <v>0.8</v>
      </c>
      <c r="Q39">
        <v>13.3</v>
      </c>
      <c r="R39">
        <v>0.8</v>
      </c>
      <c r="U39">
        <v>14.26369</v>
      </c>
      <c r="V39">
        <v>0.8</v>
      </c>
    </row>
    <row r="40" spans="1:22" x14ac:dyDescent="0.25">
      <c r="A40" t="s">
        <v>40</v>
      </c>
      <c r="B40">
        <f>_xlfn.XLOOKUP(A40,'Do podmianki'!A:A,'Do podmianki'!B:B,K40)</f>
        <v>38.700000000000003</v>
      </c>
      <c r="C40">
        <f>_xlfn.XLOOKUP(A40,'Do podmianki'!B:B,'Do podmianki'!C:C,L40)</f>
        <v>2.2999999999999998</v>
      </c>
      <c r="K40">
        <v>38.700000000000003</v>
      </c>
      <c r="L40">
        <v>2.2999999999999998</v>
      </c>
      <c r="Q40">
        <v>38.700001</v>
      </c>
      <c r="R40">
        <v>2.2999999999999998</v>
      </c>
      <c r="U40">
        <v>27.300837000000001</v>
      </c>
      <c r="V40">
        <v>2.2999999999999998</v>
      </c>
    </row>
    <row r="41" spans="1:22" x14ac:dyDescent="0.25">
      <c r="A41" t="s">
        <v>41</v>
      </c>
      <c r="B41">
        <f>_xlfn.XLOOKUP(A41,'Do podmianki'!A:A,'Do podmianki'!B:B,K41)</f>
        <v>11</v>
      </c>
      <c r="C41">
        <f>_xlfn.XLOOKUP(A41,'Do podmianki'!B:B,'Do podmianki'!C:C,L41)</f>
        <v>0.9</v>
      </c>
      <c r="K41">
        <v>11</v>
      </c>
      <c r="L41">
        <v>0.9</v>
      </c>
      <c r="Q41">
        <v>11</v>
      </c>
      <c r="R41">
        <v>0.9</v>
      </c>
      <c r="U41">
        <v>10.237814</v>
      </c>
      <c r="V41">
        <v>0.9</v>
      </c>
    </row>
    <row r="42" spans="1:22" x14ac:dyDescent="0.25">
      <c r="A42" t="s">
        <v>42</v>
      </c>
      <c r="B42">
        <f>_xlfn.XLOOKUP(A42,'Do podmianki'!A:A,'Do podmianki'!B:B,K42)</f>
        <v>29.2</v>
      </c>
      <c r="C42">
        <f>_xlfn.XLOOKUP(A42,'Do podmianki'!B:B,'Do podmianki'!C:C,L42)</f>
        <v>1.4</v>
      </c>
      <c r="K42">
        <v>29.2</v>
      </c>
      <c r="L42">
        <v>1.4</v>
      </c>
      <c r="Q42">
        <v>29.200001</v>
      </c>
      <c r="R42">
        <v>1.4</v>
      </c>
      <c r="U42">
        <v>16.858267000000001</v>
      </c>
      <c r="V42">
        <v>1.4</v>
      </c>
    </row>
    <row r="43" spans="1:22" x14ac:dyDescent="0.25">
      <c r="A43" t="s">
        <v>43</v>
      </c>
      <c r="B43">
        <f>_xlfn.XLOOKUP(A43,'Do podmianki'!A:A,'Do podmianki'!B:B,K43)</f>
        <v>10.5</v>
      </c>
      <c r="C43">
        <f>_xlfn.XLOOKUP(A43,'Do podmianki'!B:B,'Do podmianki'!C:C,L43)</f>
        <v>0.4</v>
      </c>
      <c r="K43">
        <v>10.5</v>
      </c>
      <c r="L43">
        <v>0.4</v>
      </c>
      <c r="Q43">
        <v>10.5</v>
      </c>
      <c r="R43">
        <v>0.4</v>
      </c>
      <c r="U43">
        <v>4.5046379999999999</v>
      </c>
      <c r="V43">
        <v>0.4</v>
      </c>
    </row>
    <row r="44" spans="1:22" x14ac:dyDescent="0.25">
      <c r="A44" t="s">
        <v>44</v>
      </c>
      <c r="B44">
        <f>_xlfn.XLOOKUP(A44,'Do podmianki'!A:A,'Do podmianki'!B:B,K44)</f>
        <v>11.8</v>
      </c>
      <c r="C44">
        <f>_xlfn.XLOOKUP(A44,'Do podmianki'!B:B,'Do podmianki'!C:C,L44)</f>
        <v>0.4</v>
      </c>
      <c r="K44">
        <v>11.8</v>
      </c>
      <c r="L44">
        <v>0.4</v>
      </c>
      <c r="Q44">
        <v>11.8</v>
      </c>
      <c r="R44">
        <v>0.4</v>
      </c>
      <c r="U44">
        <v>4.777647</v>
      </c>
      <c r="V44">
        <v>0.4</v>
      </c>
    </row>
    <row r="45" spans="1:22" x14ac:dyDescent="0.25">
      <c r="A45" t="s">
        <v>45</v>
      </c>
      <c r="B45">
        <f>_xlfn.XLOOKUP(A45,'Do podmianki'!A:A,'Do podmianki'!B:B,K45)</f>
        <v>5</v>
      </c>
      <c r="C45">
        <f>_xlfn.XLOOKUP(A45,'Do podmianki'!B:B,'Do podmianki'!C:C,L45)</f>
        <v>0</v>
      </c>
      <c r="K45">
        <v>5</v>
      </c>
      <c r="L45">
        <v>0</v>
      </c>
      <c r="Q45">
        <v>5</v>
      </c>
      <c r="R45">
        <v>0</v>
      </c>
      <c r="U45">
        <v>0</v>
      </c>
      <c r="V45">
        <v>0</v>
      </c>
    </row>
    <row r="46" spans="1:22" x14ac:dyDescent="0.25">
      <c r="A46" t="s">
        <v>46</v>
      </c>
      <c r="B46">
        <f>_xlfn.XLOOKUP(A46,'Do podmianki'!A:A,'Do podmianki'!B:B,K46)</f>
        <v>13.3</v>
      </c>
      <c r="C46">
        <f>_xlfn.XLOOKUP(A46,'Do podmianki'!B:B,'Do podmianki'!C:C,L46)</f>
        <v>3.5</v>
      </c>
      <c r="K46">
        <v>13.3</v>
      </c>
      <c r="L46">
        <v>3.5</v>
      </c>
      <c r="Q46">
        <v>13.3</v>
      </c>
      <c r="R46">
        <v>3.5</v>
      </c>
      <c r="U46">
        <v>40.937603000000003</v>
      </c>
      <c r="V46">
        <v>3.5</v>
      </c>
    </row>
    <row r="47" spans="1:22" x14ac:dyDescent="0.25">
      <c r="A47" t="s">
        <v>47</v>
      </c>
      <c r="B47">
        <f>_xlfn.XLOOKUP(A47,'Do podmianki'!A:A,'Do podmianki'!B:B,K47)</f>
        <v>118.5</v>
      </c>
      <c r="C47">
        <f>_xlfn.XLOOKUP(A47,'Do podmianki'!B:B,'Do podmianki'!C:C,L47)</f>
        <v>6.6</v>
      </c>
      <c r="K47">
        <v>118.5</v>
      </c>
      <c r="L47">
        <v>6.6</v>
      </c>
      <c r="Q47">
        <v>118.5</v>
      </c>
      <c r="R47">
        <v>6.6</v>
      </c>
      <c r="U47">
        <v>76.578850000000003</v>
      </c>
      <c r="V47">
        <v>6.6</v>
      </c>
    </row>
    <row r="48" spans="1:22" x14ac:dyDescent="0.25">
      <c r="A48" t="s">
        <v>48</v>
      </c>
      <c r="B48">
        <f>_xlfn.XLOOKUP(A48,'Do podmianki'!A:A,'Do podmianki'!B:B,K48)</f>
        <v>34.5</v>
      </c>
      <c r="C48">
        <f>_xlfn.XLOOKUP(A48,'Do podmianki'!B:B,'Do podmianki'!C:C,L48)</f>
        <v>8.9</v>
      </c>
      <c r="K48">
        <v>34.5</v>
      </c>
      <c r="L48">
        <v>8.9</v>
      </c>
      <c r="Q48">
        <v>34.5</v>
      </c>
      <c r="R48">
        <v>8.9</v>
      </c>
      <c r="U48" s="3">
        <v>104.234596</v>
      </c>
      <c r="V48">
        <v>8.9</v>
      </c>
    </row>
    <row r="49" spans="1:22" x14ac:dyDescent="0.25">
      <c r="A49" t="s">
        <v>49</v>
      </c>
      <c r="B49">
        <f>_xlfn.XLOOKUP(A49,'Do podmianki'!A:A,'Do podmianki'!B:B,K49)</f>
        <v>42.5</v>
      </c>
      <c r="C49">
        <f>_xlfn.XLOOKUP(A49,'Do podmianki'!B:B,'Do podmianki'!C:C,L49)</f>
        <v>1.9</v>
      </c>
      <c r="K49">
        <v>42.5</v>
      </c>
      <c r="L49">
        <v>1.9</v>
      </c>
      <c r="Q49">
        <v>42.5</v>
      </c>
      <c r="R49">
        <v>1.9</v>
      </c>
      <c r="U49">
        <v>22.318434</v>
      </c>
      <c r="V49">
        <v>1.9</v>
      </c>
    </row>
    <row r="50" spans="1:22" x14ac:dyDescent="0.25">
      <c r="A50" t="s">
        <v>50</v>
      </c>
      <c r="B50">
        <f>_xlfn.XLOOKUP(A50,'Do podmianki'!A:A,'Do podmianki'!B:B,K50)</f>
        <v>12.7</v>
      </c>
      <c r="C50">
        <f>_xlfn.XLOOKUP(A50,'Do podmianki'!B:B,'Do podmianki'!C:C,L50)</f>
        <v>2.1</v>
      </c>
      <c r="K50">
        <v>12.7</v>
      </c>
      <c r="L50">
        <v>2.1</v>
      </c>
      <c r="Q50">
        <v>12.7</v>
      </c>
      <c r="R50">
        <v>2.1</v>
      </c>
      <c r="U50">
        <v>24.024736000000001</v>
      </c>
      <c r="V50">
        <v>2.1</v>
      </c>
    </row>
    <row r="51" spans="1:22" x14ac:dyDescent="0.25">
      <c r="A51" t="s">
        <v>51</v>
      </c>
      <c r="B51">
        <f>_xlfn.XLOOKUP(A51,'Do podmianki'!A:A,'Do podmianki'!B:B,K51)</f>
        <v>5.8</v>
      </c>
      <c r="C51">
        <f>_xlfn.XLOOKUP(A51,'Do podmianki'!B:B,'Do podmianki'!C:C,L51)</f>
        <v>0.1</v>
      </c>
      <c r="K51">
        <v>5.8</v>
      </c>
      <c r="L51">
        <v>0.1</v>
      </c>
      <c r="Q51">
        <v>5.8</v>
      </c>
      <c r="R51">
        <v>0.1</v>
      </c>
      <c r="U51">
        <v>0.68252100000000004</v>
      </c>
      <c r="V51">
        <v>0.1</v>
      </c>
    </row>
    <row r="52" spans="1:22" x14ac:dyDescent="0.25">
      <c r="A52" t="s">
        <v>52</v>
      </c>
      <c r="B52">
        <f>_xlfn.XLOOKUP(A52,'Do podmianki'!A:A,'Do podmianki'!B:B,K52)</f>
        <v>14.2</v>
      </c>
      <c r="C52">
        <f>_xlfn.XLOOKUP(A52,'Do podmianki'!B:B,'Do podmianki'!C:C,L52)</f>
        <v>0.3</v>
      </c>
      <c r="K52">
        <v>14.2</v>
      </c>
      <c r="L52">
        <v>0.3</v>
      </c>
      <c r="Q52">
        <v>14.2</v>
      </c>
      <c r="R52">
        <v>0.3</v>
      </c>
      <c r="U52">
        <v>3.822117</v>
      </c>
      <c r="V52">
        <v>0.3</v>
      </c>
    </row>
    <row r="53" spans="1:22" x14ac:dyDescent="0.25">
      <c r="A53" t="s">
        <v>53</v>
      </c>
      <c r="B53">
        <f>_xlfn.XLOOKUP(A53,'Do podmianki'!A:A,'Do podmianki'!B:B,K53)</f>
        <v>24.2</v>
      </c>
      <c r="C53">
        <f>_xlfn.XLOOKUP(A53,'Do podmianki'!B:B,'Do podmianki'!C:C,L53)</f>
        <v>5</v>
      </c>
      <c r="K53">
        <v>24.2</v>
      </c>
      <c r="L53">
        <v>5</v>
      </c>
      <c r="Q53">
        <v>24.200001</v>
      </c>
      <c r="R53">
        <v>5</v>
      </c>
      <c r="U53">
        <v>8.3418899999999905</v>
      </c>
      <c r="V53">
        <v>5</v>
      </c>
    </row>
    <row r="54" spans="1:22" x14ac:dyDescent="0.25">
      <c r="A54" t="s">
        <v>54</v>
      </c>
      <c r="B54">
        <f>_xlfn.XLOOKUP(A54,'Do podmianki'!A:A,'Do podmianki'!B:B,K54)</f>
        <v>26.5</v>
      </c>
      <c r="C54">
        <f>_xlfn.XLOOKUP(A54,'Do podmianki'!B:B,'Do podmianki'!C:C,L54)</f>
        <v>0.9</v>
      </c>
      <c r="K54">
        <v>26.5</v>
      </c>
      <c r="L54">
        <v>0.9</v>
      </c>
      <c r="Q54">
        <v>26.5</v>
      </c>
      <c r="R54">
        <v>0.9</v>
      </c>
      <c r="U54">
        <v>10.10131</v>
      </c>
      <c r="V54">
        <v>0.9</v>
      </c>
    </row>
    <row r="55" spans="1:22" x14ac:dyDescent="0.25">
      <c r="A55" t="s">
        <v>55</v>
      </c>
      <c r="B55">
        <f>_xlfn.XLOOKUP(A55,'Do podmianki'!A:A,'Do podmianki'!B:B,K55)</f>
        <v>21</v>
      </c>
      <c r="C55">
        <f>_xlfn.XLOOKUP(A55,'Do podmianki'!B:B,'Do podmianki'!C:C,L55)</f>
        <v>0.8</v>
      </c>
      <c r="K55">
        <v>21</v>
      </c>
      <c r="L55">
        <v>0.8</v>
      </c>
      <c r="Q55">
        <v>21</v>
      </c>
      <c r="R55">
        <v>0.8</v>
      </c>
      <c r="U55">
        <v>9.4870409999999996</v>
      </c>
      <c r="V55">
        <v>0.8</v>
      </c>
    </row>
    <row r="56" spans="1:22" x14ac:dyDescent="0.25">
      <c r="A56" t="s">
        <v>56</v>
      </c>
      <c r="B56">
        <f>_xlfn.XLOOKUP(A56,'Do podmianki'!A:A,'Do podmianki'!B:B,K56)</f>
        <v>19</v>
      </c>
      <c r="C56">
        <f>_xlfn.XLOOKUP(A56,'Do podmianki'!B:B,'Do podmianki'!C:C,L56)</f>
        <v>0.9</v>
      </c>
      <c r="K56">
        <v>19</v>
      </c>
      <c r="L56">
        <v>0.9</v>
      </c>
      <c r="Q56">
        <v>19</v>
      </c>
      <c r="R56">
        <v>0.9</v>
      </c>
      <c r="U56">
        <v>10.0194069999999</v>
      </c>
      <c r="V56">
        <v>0.9</v>
      </c>
    </row>
    <row r="57" spans="1:22" x14ac:dyDescent="0.25">
      <c r="A57" t="s">
        <v>57</v>
      </c>
      <c r="B57">
        <f>_xlfn.XLOOKUP(A57,'Do podmianki'!A:A,'Do podmianki'!B:B,K57)</f>
        <v>7</v>
      </c>
      <c r="C57">
        <f>_xlfn.XLOOKUP(A57,'Do podmianki'!B:B,'Do podmianki'!C:C,L57)</f>
        <v>2.8</v>
      </c>
      <c r="K57">
        <v>7</v>
      </c>
      <c r="L57">
        <v>2.8</v>
      </c>
      <c r="Q57">
        <v>7</v>
      </c>
      <c r="R57">
        <v>2.8</v>
      </c>
      <c r="U57">
        <v>32.856555999999898</v>
      </c>
      <c r="V57">
        <v>2.8</v>
      </c>
    </row>
    <row r="58" spans="1:22" x14ac:dyDescent="0.25">
      <c r="A58" t="s">
        <v>58</v>
      </c>
      <c r="B58">
        <f>_xlfn.XLOOKUP(A58,'Do podmianki'!A:A,'Do podmianki'!B:B,K58)</f>
        <v>8.1</v>
      </c>
      <c r="C58">
        <f>_xlfn.XLOOKUP(A58,'Do podmianki'!B:B,'Do podmianki'!C:C,L58)</f>
        <v>0.5</v>
      </c>
      <c r="K58">
        <v>8.1</v>
      </c>
      <c r="L58">
        <v>0.5</v>
      </c>
      <c r="Q58">
        <v>8.1</v>
      </c>
      <c r="R58">
        <v>0.5</v>
      </c>
      <c r="U58">
        <v>5.4601670000000002</v>
      </c>
      <c r="V58">
        <v>0.5</v>
      </c>
    </row>
    <row r="59" spans="1:22" x14ac:dyDescent="0.25">
      <c r="A59" t="s">
        <v>59</v>
      </c>
      <c r="B59">
        <f>_xlfn.XLOOKUP(A59,'Do podmianki'!A:A,'Do podmianki'!B:B,K59)</f>
        <v>12</v>
      </c>
      <c r="C59">
        <f>_xlfn.XLOOKUP(A59,'Do podmianki'!B:B,'Do podmianki'!C:C,L59)</f>
        <v>1.6</v>
      </c>
      <c r="K59">
        <v>12</v>
      </c>
      <c r="L59">
        <v>1.6</v>
      </c>
      <c r="Q59">
        <v>12</v>
      </c>
      <c r="R59">
        <v>1.6</v>
      </c>
      <c r="U59">
        <v>18.673773000000001</v>
      </c>
      <c r="V59">
        <v>1.6</v>
      </c>
    </row>
    <row r="60" spans="1:22" x14ac:dyDescent="0.25">
      <c r="A60" t="s">
        <v>60</v>
      </c>
      <c r="B60">
        <f>_xlfn.XLOOKUP(A60,'Do podmianki'!A:A,'Do podmianki'!B:B,K60)</f>
        <v>8.8000000000000007</v>
      </c>
      <c r="C60">
        <f>_xlfn.XLOOKUP(A60,'Do podmianki'!B:B,'Do podmianki'!C:C,L60)</f>
        <v>0.7</v>
      </c>
      <c r="K60">
        <v>8.8000000000000007</v>
      </c>
      <c r="L60">
        <v>0.7</v>
      </c>
      <c r="Q60">
        <v>8.8000000000000007</v>
      </c>
      <c r="R60">
        <v>0.7</v>
      </c>
      <c r="U60">
        <v>8.1629509999999996</v>
      </c>
      <c r="V60">
        <v>0.7</v>
      </c>
    </row>
    <row r="61" spans="1:22" x14ac:dyDescent="0.25">
      <c r="A61" t="s">
        <v>61</v>
      </c>
      <c r="B61">
        <f>_xlfn.XLOOKUP(A61,'Do podmianki'!A:A,'Do podmianki'!B:B,K61)</f>
        <v>19.7</v>
      </c>
      <c r="C61">
        <f>_xlfn.XLOOKUP(A61,'Do podmianki'!B:B,'Do podmianki'!C:C,L61)</f>
        <v>0.7</v>
      </c>
      <c r="K61">
        <v>19.7</v>
      </c>
      <c r="L61">
        <v>0.7</v>
      </c>
      <c r="Q61">
        <v>19.700001</v>
      </c>
      <c r="R61">
        <v>0.7</v>
      </c>
      <c r="U61">
        <v>8.1629509999999996</v>
      </c>
      <c r="V61">
        <v>0.7</v>
      </c>
    </row>
    <row r="62" spans="1:22" x14ac:dyDescent="0.25">
      <c r="A62" t="s">
        <v>62</v>
      </c>
      <c r="B62">
        <f>_xlfn.XLOOKUP(A62,'Do podmianki'!A:A,'Do podmianki'!B:B,K62)</f>
        <v>48</v>
      </c>
      <c r="C62">
        <f>_xlfn.XLOOKUP(A62,'Do podmianki'!B:B,'Do podmianki'!C:C,L62)</f>
        <v>2.1</v>
      </c>
      <c r="K62">
        <v>48</v>
      </c>
      <c r="L62">
        <v>2.1</v>
      </c>
      <c r="Q62">
        <v>48</v>
      </c>
      <c r="R62">
        <v>2.1</v>
      </c>
      <c r="U62">
        <v>24.925663</v>
      </c>
      <c r="V62">
        <v>2.1</v>
      </c>
    </row>
    <row r="63" spans="1:22" x14ac:dyDescent="0.25">
      <c r="A63" t="s">
        <v>63</v>
      </c>
      <c r="B63">
        <f>_xlfn.XLOOKUP(A63,'Do podmianki'!A:A,'Do podmianki'!B:B,K63)</f>
        <v>22.5</v>
      </c>
      <c r="C63">
        <f>_xlfn.XLOOKUP(A63,'Do podmianki'!B:B,'Do podmianki'!C:C,L63)</f>
        <v>5.7</v>
      </c>
      <c r="K63">
        <v>22.5</v>
      </c>
      <c r="L63">
        <v>5.7</v>
      </c>
      <c r="Q63">
        <v>22.5</v>
      </c>
      <c r="R63">
        <v>5.7</v>
      </c>
      <c r="U63">
        <v>66.750541999999896</v>
      </c>
      <c r="V63">
        <v>5.7</v>
      </c>
    </row>
    <row r="64" spans="1:22" x14ac:dyDescent="0.25">
      <c r="A64" t="s">
        <v>64</v>
      </c>
      <c r="B64">
        <f>_xlfn.XLOOKUP(A64,'Do podmianki'!A:A,'Do podmianki'!B:B,K64)</f>
        <v>84</v>
      </c>
      <c r="C64">
        <f>_xlfn.XLOOKUP(A64,'Do podmianki'!B:B,'Do podmianki'!C:C,L64)</f>
        <v>9.4</v>
      </c>
      <c r="K64">
        <v>84</v>
      </c>
      <c r="L64">
        <v>9.4</v>
      </c>
      <c r="Q64">
        <v>84</v>
      </c>
      <c r="R64">
        <v>9.4</v>
      </c>
      <c r="U64" s="3">
        <v>109.203346</v>
      </c>
      <c r="V64">
        <v>9.4</v>
      </c>
    </row>
    <row r="65" spans="1:22" x14ac:dyDescent="0.25">
      <c r="A65" t="s">
        <v>65</v>
      </c>
      <c r="B65">
        <f>_xlfn.XLOOKUP(A65,'Do podmianki'!A:A,'Do podmianki'!B:B,K65)</f>
        <v>7.2</v>
      </c>
      <c r="C65">
        <f>_xlfn.XLOOKUP(A65,'Do podmianki'!B:B,'Do podmianki'!C:C,L65)</f>
        <v>0.1</v>
      </c>
      <c r="K65">
        <v>7.2</v>
      </c>
      <c r="L65">
        <v>0.1</v>
      </c>
      <c r="Q65">
        <v>7.2</v>
      </c>
      <c r="R65">
        <v>0.1</v>
      </c>
      <c r="U65">
        <v>1.3650420000000001</v>
      </c>
      <c r="V65">
        <v>0.1</v>
      </c>
    </row>
    <row r="66" spans="1:22" x14ac:dyDescent="0.25">
      <c r="A66" t="s">
        <v>66</v>
      </c>
      <c r="B66">
        <f>_xlfn.XLOOKUP(A66,'Do podmianki'!A:A,'Do podmianki'!B:B,K66)</f>
        <v>17.5</v>
      </c>
      <c r="C66">
        <f>_xlfn.XLOOKUP(A66,'Do podmianki'!B:B,'Do podmianki'!C:C,L66)</f>
        <v>0.5</v>
      </c>
      <c r="K66">
        <v>17.5</v>
      </c>
      <c r="L66">
        <v>0.5</v>
      </c>
      <c r="Q66">
        <v>17.5</v>
      </c>
      <c r="R66">
        <v>0.5</v>
      </c>
      <c r="U66">
        <v>5.8696799999999998</v>
      </c>
      <c r="V66">
        <v>0.5</v>
      </c>
    </row>
    <row r="67" spans="1:22" x14ac:dyDescent="0.25">
      <c r="A67" t="s">
        <v>67</v>
      </c>
      <c r="B67">
        <f>_xlfn.XLOOKUP(A67,'Do podmianki'!A:A,'Do podmianki'!B:B,K67)</f>
        <v>8.8000000000000007</v>
      </c>
      <c r="C67">
        <f>_xlfn.XLOOKUP(A67,'Do podmianki'!B:B,'Do podmianki'!C:C,L67)</f>
        <v>0.7</v>
      </c>
      <c r="K67">
        <v>8.8000000000000007</v>
      </c>
      <c r="L67">
        <v>0.7</v>
      </c>
      <c r="Q67">
        <v>8.8000000000000007</v>
      </c>
      <c r="R67">
        <v>0.7</v>
      </c>
      <c r="U67">
        <v>8.7362680000000008</v>
      </c>
      <c r="V67">
        <v>0.7</v>
      </c>
    </row>
    <row r="68" spans="1:22" x14ac:dyDescent="0.25">
      <c r="A68" t="s">
        <v>68</v>
      </c>
      <c r="B68">
        <f>_xlfn.XLOOKUP(A68,'Do podmianki'!A:A,'Do podmianki'!B:B,K68)</f>
        <v>5.8</v>
      </c>
      <c r="C68">
        <f>_xlfn.XLOOKUP(A68,'Do podmianki'!B:B,'Do podmianki'!C:C,L68)</f>
        <v>0.4</v>
      </c>
      <c r="K68">
        <v>5.8</v>
      </c>
      <c r="L68">
        <v>0.4</v>
      </c>
      <c r="Q68">
        <v>5.8</v>
      </c>
      <c r="R68">
        <v>0.4</v>
      </c>
      <c r="U68">
        <v>4.777647</v>
      </c>
      <c r="V68">
        <v>0.4</v>
      </c>
    </row>
    <row r="69" spans="1:22" x14ac:dyDescent="0.25">
      <c r="A69" t="s">
        <v>69</v>
      </c>
      <c r="B69">
        <f>_xlfn.XLOOKUP(A69,'Do podmianki'!A:A,'Do podmianki'!B:B,K69)</f>
        <v>13.2</v>
      </c>
      <c r="C69">
        <f>_xlfn.XLOOKUP(A69,'Do podmianki'!B:B,'Do podmianki'!C:C,L69)</f>
        <v>0.7</v>
      </c>
      <c r="K69">
        <v>13.2</v>
      </c>
      <c r="L69">
        <v>0.7</v>
      </c>
      <c r="Q69">
        <v>13.2</v>
      </c>
      <c r="R69">
        <v>0.7</v>
      </c>
      <c r="U69">
        <v>7.644234</v>
      </c>
      <c r="V69">
        <v>0.7</v>
      </c>
    </row>
    <row r="70" spans="1:22" x14ac:dyDescent="0.25">
      <c r="A70" t="s">
        <v>70</v>
      </c>
      <c r="B70">
        <f>_xlfn.XLOOKUP(A70,'Do podmianki'!A:A,'Do podmianki'!B:B,K70)</f>
        <v>12.6</v>
      </c>
      <c r="C70">
        <f>_xlfn.XLOOKUP(A70,'Do podmianki'!B:B,'Do podmianki'!C:C,L70)</f>
        <v>7</v>
      </c>
      <c r="K70">
        <v>12.6</v>
      </c>
      <c r="L70">
        <v>7</v>
      </c>
      <c r="Q70">
        <v>12.6</v>
      </c>
      <c r="R70">
        <v>7</v>
      </c>
      <c r="U70">
        <v>81.219986000000006</v>
      </c>
      <c r="V70">
        <v>7</v>
      </c>
    </row>
    <row r="71" spans="1:22" x14ac:dyDescent="0.25">
      <c r="A71" t="s">
        <v>71</v>
      </c>
      <c r="B71">
        <f>_xlfn.XLOOKUP(A71,'Do podmianki'!A:A,'Do podmianki'!B:B,K71)</f>
        <v>6.5</v>
      </c>
      <c r="C71">
        <f>_xlfn.XLOOKUP(A71,'Do podmianki'!B:B,'Do podmianki'!C:C,L71)</f>
        <v>0.3</v>
      </c>
      <c r="K71">
        <v>6.5</v>
      </c>
      <c r="L71">
        <v>0.3</v>
      </c>
      <c r="Q71">
        <v>6.5</v>
      </c>
      <c r="R71">
        <v>0.3</v>
      </c>
      <c r="U71">
        <v>3.685613</v>
      </c>
      <c r="V71">
        <v>0.3</v>
      </c>
    </row>
    <row r="72" spans="1:22" x14ac:dyDescent="0.25">
      <c r="A72" t="s">
        <v>72</v>
      </c>
      <c r="B72">
        <f>_xlfn.XLOOKUP(A72,'Do podmianki'!A:A,'Do podmianki'!B:B,K72)</f>
        <v>9.4</v>
      </c>
      <c r="C72">
        <f>_xlfn.XLOOKUP(A72,'Do podmianki'!B:B,'Do podmianki'!C:C,L72)</f>
        <v>0.5</v>
      </c>
      <c r="K72">
        <v>9.4</v>
      </c>
      <c r="L72">
        <v>0.5</v>
      </c>
      <c r="Q72">
        <v>9.4</v>
      </c>
      <c r="R72">
        <v>0.5</v>
      </c>
      <c r="U72">
        <v>5.5966719999999999</v>
      </c>
      <c r="V72">
        <v>0.5</v>
      </c>
    </row>
    <row r="73" spans="1:22" x14ac:dyDescent="0.25">
      <c r="A73" t="s">
        <v>73</v>
      </c>
      <c r="B73">
        <f>_xlfn.XLOOKUP(A73,'Do podmianki'!A:A,'Do podmianki'!B:B,K73)</f>
        <v>9.8000000000000007</v>
      </c>
      <c r="C73">
        <f>_xlfn.XLOOKUP(A73,'Do podmianki'!B:B,'Do podmianki'!C:C,L73)</f>
        <v>0.4</v>
      </c>
      <c r="K73">
        <v>9.8000000000000007</v>
      </c>
      <c r="L73">
        <v>0.4</v>
      </c>
      <c r="Q73">
        <v>9.8000000000000007</v>
      </c>
      <c r="R73">
        <v>0.4</v>
      </c>
      <c r="U73">
        <v>5.1871590000000003</v>
      </c>
      <c r="V73">
        <v>0.4</v>
      </c>
    </row>
    <row r="74" spans="1:22" x14ac:dyDescent="0.25">
      <c r="A74" t="s">
        <v>74</v>
      </c>
      <c r="B74">
        <f>_xlfn.XLOOKUP(A74,'Do podmianki'!A:A,'Do podmianki'!B:B,K74)</f>
        <v>7.2</v>
      </c>
      <c r="C74">
        <f>_xlfn.XLOOKUP(A74,'Do podmianki'!B:B,'Do podmianki'!C:C,L74)</f>
        <v>0.5</v>
      </c>
      <c r="K74">
        <v>7.2</v>
      </c>
      <c r="L74">
        <v>0.5</v>
      </c>
      <c r="Q74">
        <v>7.2</v>
      </c>
      <c r="R74">
        <v>0.5</v>
      </c>
      <c r="U74">
        <v>25.490589</v>
      </c>
      <c r="V74">
        <v>0</v>
      </c>
    </row>
    <row r="75" spans="1:22" x14ac:dyDescent="0.25">
      <c r="A75" t="s">
        <v>75</v>
      </c>
      <c r="B75">
        <f>_xlfn.XLOOKUP(A75,'Do podmianki'!A:A,'Do podmianki'!B:B,K75)</f>
        <v>5.9238618504684544</v>
      </c>
      <c r="C75">
        <f>_xlfn.XLOOKUP(A75,'Do podmianki'!B:B,'Do podmianki'!C:C,L75)</f>
        <v>0.8</v>
      </c>
      <c r="K75">
        <v>6.2</v>
      </c>
      <c r="L75">
        <v>0.8</v>
      </c>
      <c r="Q75">
        <v>6.2</v>
      </c>
      <c r="R75">
        <v>0.8</v>
      </c>
      <c r="U75">
        <v>3.9835639999999999</v>
      </c>
      <c r="V75">
        <v>0.8</v>
      </c>
    </row>
    <row r="76" spans="1:22" x14ac:dyDescent="0.25">
      <c r="A76" t="s">
        <v>76</v>
      </c>
      <c r="B76">
        <f>_xlfn.XLOOKUP(A76,'Do podmianki'!A:A,'Do podmianki'!B:B,K76)</f>
        <v>7.7</v>
      </c>
      <c r="C76">
        <f>_xlfn.XLOOKUP(A76,'Do podmianki'!B:B,'Do podmianki'!C:C,L76)</f>
        <v>0</v>
      </c>
      <c r="K76">
        <v>7.7</v>
      </c>
      <c r="L76">
        <v>0</v>
      </c>
      <c r="Q76">
        <v>7.7</v>
      </c>
      <c r="R76">
        <v>0</v>
      </c>
      <c r="U76">
        <v>0</v>
      </c>
      <c r="V76">
        <v>0</v>
      </c>
    </row>
    <row r="77" spans="1:22" x14ac:dyDescent="0.25">
      <c r="A77" t="s">
        <v>77</v>
      </c>
      <c r="B77">
        <f>_xlfn.XLOOKUP(A77,'Do podmianki'!A:A,'Do podmianki'!B:B,K77)</f>
        <v>5.6</v>
      </c>
      <c r="C77">
        <f>_xlfn.XLOOKUP(A77,'Do podmianki'!B:B,'Do podmianki'!C:C,L77)</f>
        <v>0.1</v>
      </c>
      <c r="K77">
        <v>5.6</v>
      </c>
      <c r="L77">
        <v>0.1</v>
      </c>
      <c r="Q77">
        <v>5.6</v>
      </c>
      <c r="R77">
        <v>0.1</v>
      </c>
      <c r="U77">
        <v>1.63805</v>
      </c>
      <c r="V77">
        <v>0.1</v>
      </c>
    </row>
    <row r="78" spans="1:22" x14ac:dyDescent="0.25">
      <c r="A78" t="s">
        <v>78</v>
      </c>
      <c r="B78">
        <f>_xlfn.XLOOKUP(A78,'Do podmianki'!A:A,'Do podmianki'!B:B,K78)</f>
        <v>7.8</v>
      </c>
      <c r="C78">
        <f>_xlfn.XLOOKUP(A78,'Do podmianki'!B:B,'Do podmianki'!C:C,L78)</f>
        <v>0.2</v>
      </c>
      <c r="K78">
        <v>7.8</v>
      </c>
      <c r="L78">
        <v>0.2</v>
      </c>
      <c r="Q78">
        <v>7.8</v>
      </c>
      <c r="R78">
        <v>0.2</v>
      </c>
      <c r="U78">
        <v>2.8665880000000001</v>
      </c>
      <c r="V78">
        <v>0.2</v>
      </c>
    </row>
    <row r="79" spans="1:22" x14ac:dyDescent="0.25">
      <c r="A79" t="s">
        <v>79</v>
      </c>
      <c r="B79">
        <f>_xlfn.XLOOKUP(A79,'Do podmianki'!A:A,'Do podmianki'!B:B,K79)</f>
        <v>5.7</v>
      </c>
      <c r="C79">
        <f>_xlfn.XLOOKUP(A79,'Do podmianki'!B:B,'Do podmianki'!C:C,L79)</f>
        <v>0.1</v>
      </c>
      <c r="K79">
        <v>5.7</v>
      </c>
      <c r="L79">
        <v>0.1</v>
      </c>
      <c r="Q79">
        <v>5.7</v>
      </c>
      <c r="R79">
        <v>0.1</v>
      </c>
      <c r="U79">
        <v>0.95552899999999996</v>
      </c>
      <c r="V79">
        <v>0.1</v>
      </c>
    </row>
    <row r="80" spans="1:22" x14ac:dyDescent="0.25">
      <c r="A80" t="s">
        <v>80</v>
      </c>
      <c r="B80">
        <f>_xlfn.XLOOKUP(A80,'Do podmianki'!A:A,'Do podmianki'!B:B,K80)</f>
        <v>12.1</v>
      </c>
      <c r="C80">
        <f>_xlfn.XLOOKUP(A80,'Do podmianki'!B:B,'Do podmianki'!C:C,L80)</f>
        <v>0.4</v>
      </c>
      <c r="K80">
        <v>12.1</v>
      </c>
      <c r="L80">
        <v>0.4</v>
      </c>
      <c r="Q80">
        <v>12.1</v>
      </c>
      <c r="R80">
        <v>0.4</v>
      </c>
      <c r="U80">
        <v>5.1871590000000003</v>
      </c>
      <c r="V80">
        <v>0.4</v>
      </c>
    </row>
    <row r="81" spans="1:22" x14ac:dyDescent="0.25">
      <c r="A81" t="s">
        <v>81</v>
      </c>
      <c r="B81">
        <f>_xlfn.XLOOKUP(A81,'Do podmianki'!A:A,'Do podmianki'!B:B,K81)</f>
        <v>8.1</v>
      </c>
      <c r="C81">
        <f>_xlfn.XLOOKUP(A81,'Do podmianki'!B:B,'Do podmianki'!C:C,L81)</f>
        <v>0.9</v>
      </c>
      <c r="K81">
        <v>8.1</v>
      </c>
      <c r="L81">
        <v>0.9</v>
      </c>
      <c r="Q81">
        <v>8.1</v>
      </c>
      <c r="R81">
        <v>0.9</v>
      </c>
      <c r="U81">
        <v>10.5108219999999</v>
      </c>
      <c r="V81">
        <v>0.9</v>
      </c>
    </row>
    <row r="82" spans="1:22" x14ac:dyDescent="0.25">
      <c r="A82" t="s">
        <v>82</v>
      </c>
      <c r="B82">
        <f>_xlfn.XLOOKUP(A82,'Do podmianki'!A:A,'Do podmianki'!B:B,K82)</f>
        <v>5.0999999999999996</v>
      </c>
      <c r="C82">
        <f>_xlfn.XLOOKUP(A82,'Do podmianki'!B:B,'Do podmianki'!C:C,L82)</f>
        <v>1.1000000000000001</v>
      </c>
      <c r="K82">
        <v>5.0999999999999996</v>
      </c>
      <c r="L82">
        <v>1.1000000000000001</v>
      </c>
      <c r="Q82">
        <v>5.0999999999999996</v>
      </c>
      <c r="R82">
        <v>1.1000000000000001</v>
      </c>
      <c r="U82">
        <v>13.104402</v>
      </c>
      <c r="V82">
        <v>1.1000000000000001</v>
      </c>
    </row>
    <row r="83" spans="1:22" x14ac:dyDescent="0.25">
      <c r="A83" t="s">
        <v>83</v>
      </c>
      <c r="B83">
        <f>_xlfn.XLOOKUP(A83,'Do podmianki'!A:A,'Do podmianki'!B:B,K83)</f>
        <v>6.7</v>
      </c>
      <c r="C83">
        <f>_xlfn.XLOOKUP(A83,'Do podmianki'!B:B,'Do podmianki'!C:C,L83)</f>
        <v>0.3</v>
      </c>
      <c r="K83">
        <v>6.7</v>
      </c>
      <c r="L83">
        <v>0.3</v>
      </c>
      <c r="Q83">
        <v>6.7</v>
      </c>
      <c r="R83">
        <v>0.3</v>
      </c>
      <c r="U83">
        <v>3.0030920000000001</v>
      </c>
      <c r="V83">
        <v>0.3</v>
      </c>
    </row>
    <row r="84" spans="1:22" x14ac:dyDescent="0.25">
      <c r="A84" t="s">
        <v>84</v>
      </c>
      <c r="B84">
        <f>_xlfn.XLOOKUP(A84,'Do podmianki'!A:A,'Do podmianki'!B:B,K84)</f>
        <v>19.399999999999999</v>
      </c>
      <c r="C84">
        <f>_xlfn.XLOOKUP(A84,'Do podmianki'!B:B,'Do podmianki'!C:C,L84)</f>
        <v>0.5</v>
      </c>
      <c r="K84">
        <v>19.399999999999999</v>
      </c>
      <c r="L84">
        <v>0.5</v>
      </c>
      <c r="Q84">
        <v>19.399999999999999</v>
      </c>
      <c r="R84">
        <v>0.5</v>
      </c>
      <c r="U84">
        <v>6.4156969999999998</v>
      </c>
      <c r="V84">
        <v>0.5</v>
      </c>
    </row>
    <row r="85" spans="1:22" x14ac:dyDescent="0.25">
      <c r="A85" t="s">
        <v>85</v>
      </c>
      <c r="B85">
        <f>_xlfn.XLOOKUP(A85,'Do podmianki'!A:A,'Do podmianki'!B:B,K85)</f>
        <v>65.5</v>
      </c>
      <c r="C85">
        <f>_xlfn.XLOOKUP(A85,'Do podmianki'!B:B,'Do podmianki'!C:C,L85)</f>
        <v>2.1</v>
      </c>
      <c r="K85">
        <v>65.5</v>
      </c>
      <c r="L85">
        <v>2.1</v>
      </c>
      <c r="Q85">
        <v>65.5</v>
      </c>
      <c r="R85">
        <v>2.1</v>
      </c>
      <c r="U85">
        <v>24.024736000000001</v>
      </c>
      <c r="V85">
        <v>2.1</v>
      </c>
    </row>
    <row r="86" spans="1:22" x14ac:dyDescent="0.25">
      <c r="A86" t="s">
        <v>86</v>
      </c>
      <c r="B86">
        <f>_xlfn.XLOOKUP(A86,'Do podmianki'!A:A,'Do podmianki'!B:B,K86)</f>
        <v>5.2</v>
      </c>
      <c r="C86">
        <f>_xlfn.XLOOKUP(A86,'Do podmianki'!B:B,'Do podmianki'!C:C,L86)</f>
        <v>1.2</v>
      </c>
      <c r="K86">
        <v>5.2</v>
      </c>
      <c r="L86">
        <v>1.2</v>
      </c>
      <c r="Q86">
        <v>5.2</v>
      </c>
      <c r="R86">
        <v>1.2</v>
      </c>
      <c r="U86">
        <v>13.650418</v>
      </c>
      <c r="V86">
        <v>1.2</v>
      </c>
    </row>
    <row r="87" spans="1:22" x14ac:dyDescent="0.25">
      <c r="A87" t="s">
        <v>87</v>
      </c>
      <c r="B87">
        <f>_xlfn.XLOOKUP(A87,'Do podmianki'!A:A,'Do podmianki'!B:B,K87)</f>
        <v>45</v>
      </c>
      <c r="C87">
        <f>_xlfn.XLOOKUP(A87,'Do podmianki'!B:B,'Do podmianki'!C:C,L87)</f>
        <v>1.5</v>
      </c>
      <c r="K87">
        <v>45</v>
      </c>
      <c r="L87">
        <v>1.5</v>
      </c>
      <c r="Q87">
        <v>45</v>
      </c>
      <c r="R87">
        <v>1.5</v>
      </c>
      <c r="U87">
        <v>17.882048000000001</v>
      </c>
      <c r="V87">
        <v>1.5</v>
      </c>
    </row>
    <row r="88" spans="1:22" x14ac:dyDescent="0.25">
      <c r="A88" t="s">
        <v>88</v>
      </c>
      <c r="B88">
        <f>_xlfn.XLOOKUP(A88,'Do podmianki'!A:A,'Do podmianki'!B:B,K88)</f>
        <v>5.3</v>
      </c>
      <c r="C88">
        <f>_xlfn.XLOOKUP(A88,'Do podmianki'!B:B,'Do podmianki'!C:C,L88)</f>
        <v>0.9</v>
      </c>
      <c r="K88">
        <v>5.3</v>
      </c>
      <c r="L88">
        <v>0.9</v>
      </c>
      <c r="Q88">
        <v>5.3</v>
      </c>
      <c r="R88">
        <v>0.9</v>
      </c>
      <c r="U88">
        <v>11.056839</v>
      </c>
      <c r="V88">
        <v>0.9</v>
      </c>
    </row>
    <row r="89" spans="1:22" x14ac:dyDescent="0.25">
      <c r="A89" t="s">
        <v>89</v>
      </c>
      <c r="B89">
        <f>_xlfn.XLOOKUP(A89,'Do podmianki'!A:A,'Do podmianki'!B:B,K89)</f>
        <v>7.1</v>
      </c>
      <c r="C89">
        <f>_xlfn.XLOOKUP(A89,'Do podmianki'!B:B,'Do podmianki'!C:C,L89)</f>
        <v>3.3</v>
      </c>
      <c r="K89">
        <v>7.1</v>
      </c>
      <c r="L89">
        <v>3.3</v>
      </c>
      <c r="Q89">
        <v>7.1</v>
      </c>
      <c r="R89">
        <v>3.3</v>
      </c>
      <c r="U89">
        <v>38.903689999999898</v>
      </c>
      <c r="V89">
        <v>3.3</v>
      </c>
    </row>
    <row r="90" spans="1:22" x14ac:dyDescent="0.25">
      <c r="A90" t="s">
        <v>90</v>
      </c>
      <c r="B90">
        <f>_xlfn.XLOOKUP(A90,'Do podmianki'!A:A,'Do podmianki'!B:B,K90)</f>
        <v>9.6999999999999993</v>
      </c>
      <c r="C90">
        <f>_xlfn.XLOOKUP(A90,'Do podmianki'!B:B,'Do podmianki'!C:C,L90)</f>
        <v>2</v>
      </c>
      <c r="K90">
        <v>9.6999999999999993</v>
      </c>
      <c r="L90">
        <v>2</v>
      </c>
      <c r="Q90">
        <v>9.6999999999999993</v>
      </c>
      <c r="R90">
        <v>2</v>
      </c>
      <c r="U90">
        <v>23.3422149999999</v>
      </c>
      <c r="V90">
        <v>2</v>
      </c>
    </row>
    <row r="91" spans="1:22" x14ac:dyDescent="0.25">
      <c r="A91" t="s">
        <v>91</v>
      </c>
      <c r="B91">
        <f>_xlfn.XLOOKUP(A91,'Do podmianki'!A:A,'Do podmianki'!B:B,K91)</f>
        <v>25.3</v>
      </c>
      <c r="C91">
        <f>_xlfn.XLOOKUP(A91,'Do podmianki'!B:B,'Do podmianki'!C:C,L91)</f>
        <v>3.8</v>
      </c>
      <c r="K91">
        <v>25.3</v>
      </c>
      <c r="L91">
        <v>3.8</v>
      </c>
      <c r="Q91">
        <v>25.299999</v>
      </c>
      <c r="R91">
        <v>3.8</v>
      </c>
      <c r="U91">
        <v>44.7733729999999</v>
      </c>
      <c r="V91">
        <v>3.8</v>
      </c>
    </row>
    <row r="92" spans="1:22" x14ac:dyDescent="0.25">
      <c r="A92" t="s">
        <v>92</v>
      </c>
      <c r="B92">
        <f>_xlfn.XLOOKUP(A92,'Do podmianki'!A:A,'Do podmianki'!B:B,K92)</f>
        <v>49</v>
      </c>
      <c r="C92">
        <f>_xlfn.XLOOKUP(A92,'Do podmianki'!B:B,'Do podmianki'!C:C,L92)</f>
        <v>5</v>
      </c>
      <c r="K92">
        <v>49</v>
      </c>
      <c r="L92">
        <v>5</v>
      </c>
      <c r="Q92">
        <v>49</v>
      </c>
      <c r="R92">
        <v>5</v>
      </c>
      <c r="U92">
        <v>58.423789999999897</v>
      </c>
      <c r="V92">
        <v>5</v>
      </c>
    </row>
    <row r="93" spans="1:22" x14ac:dyDescent="0.25">
      <c r="A93" t="s">
        <v>93</v>
      </c>
      <c r="B93">
        <f>_xlfn.XLOOKUP(A93,'Do podmianki'!A:A,'Do podmianki'!B:B,K93)</f>
        <v>19.600000000000001</v>
      </c>
      <c r="C93">
        <f>_xlfn.XLOOKUP(A93,'Do podmianki'!B:B,'Do podmianki'!C:C,L93)</f>
        <v>2</v>
      </c>
      <c r="K93">
        <v>19.600000000000001</v>
      </c>
      <c r="L93">
        <v>2</v>
      </c>
      <c r="Q93">
        <v>19.600000000000001</v>
      </c>
      <c r="R93">
        <v>2</v>
      </c>
      <c r="U93">
        <v>23.615223</v>
      </c>
      <c r="V93">
        <v>2</v>
      </c>
    </row>
    <row r="94" spans="1:22" x14ac:dyDescent="0.25">
      <c r="A94" t="s">
        <v>94</v>
      </c>
      <c r="B94">
        <f>_xlfn.XLOOKUP(A94,'Do podmianki'!A:A,'Do podmianki'!B:B,K94)</f>
        <v>39.200000000000003</v>
      </c>
      <c r="C94">
        <f>_xlfn.XLOOKUP(A94,'Do podmianki'!B:B,'Do podmianki'!C:C,L94)</f>
        <v>4.8</v>
      </c>
      <c r="K94">
        <v>39.200000000000003</v>
      </c>
      <c r="L94">
        <v>4.8</v>
      </c>
      <c r="Q94">
        <v>39.200001</v>
      </c>
      <c r="R94">
        <v>4.8</v>
      </c>
      <c r="U94">
        <v>55.966712999999899</v>
      </c>
      <c r="V94">
        <v>4.8</v>
      </c>
    </row>
    <row r="95" spans="1:22" x14ac:dyDescent="0.25">
      <c r="A95" t="s">
        <v>95</v>
      </c>
      <c r="B95">
        <f>_xlfn.XLOOKUP(A95,'Do podmianki'!A:A,'Do podmianki'!B:B,K95)</f>
        <v>15.2</v>
      </c>
      <c r="C95">
        <f>_xlfn.XLOOKUP(A95,'Do podmianki'!B:B,'Do podmianki'!C:C,L95)</f>
        <v>6.3</v>
      </c>
      <c r="K95">
        <v>15.2</v>
      </c>
      <c r="L95">
        <v>6.3</v>
      </c>
      <c r="Q95">
        <v>15.2</v>
      </c>
      <c r="R95">
        <v>6.3</v>
      </c>
      <c r="U95">
        <v>73.439246999999895</v>
      </c>
      <c r="V95">
        <v>6.3</v>
      </c>
    </row>
    <row r="96" spans="1:22" x14ac:dyDescent="0.25">
      <c r="A96" t="s">
        <v>96</v>
      </c>
      <c r="B96">
        <f>_xlfn.XLOOKUP(A96,'Do podmianki'!A:A,'Do podmianki'!B:B,K96)</f>
        <v>15.7</v>
      </c>
      <c r="C96">
        <f>_xlfn.XLOOKUP(A96,'Do podmianki'!B:B,'Do podmianki'!C:C,L96)</f>
        <v>2.6</v>
      </c>
      <c r="K96">
        <v>15.7</v>
      </c>
      <c r="L96">
        <v>2.6</v>
      </c>
      <c r="Q96">
        <v>15.7</v>
      </c>
      <c r="R96">
        <v>2.6</v>
      </c>
      <c r="U96">
        <v>30.440434</v>
      </c>
      <c r="V96">
        <v>2.6</v>
      </c>
    </row>
    <row r="97" spans="1:22" x14ac:dyDescent="0.25">
      <c r="A97" t="s">
        <v>97</v>
      </c>
      <c r="B97">
        <f>_xlfn.XLOOKUP(A97,'Do podmianki'!A:A,'Do podmianki'!B:B,K97)</f>
        <v>25.3</v>
      </c>
      <c r="C97">
        <f>_xlfn.XLOOKUP(A97,'Do podmianki'!B:B,'Do podmianki'!C:C,L97)</f>
        <v>1.1000000000000001</v>
      </c>
      <c r="K97">
        <v>25.3</v>
      </c>
      <c r="L97">
        <v>1.1000000000000001</v>
      </c>
      <c r="Q97">
        <v>25.299999</v>
      </c>
      <c r="R97">
        <v>1.1000000000000001</v>
      </c>
      <c r="U97">
        <v>13.104402</v>
      </c>
      <c r="V97">
        <v>1.1000000000000001</v>
      </c>
    </row>
    <row r="98" spans="1:22" x14ac:dyDescent="0.25">
      <c r="A98" t="s">
        <v>98</v>
      </c>
      <c r="B98">
        <f>_xlfn.XLOOKUP(A98,'Do podmianki'!A:A,'Do podmianki'!B:B,K98)</f>
        <v>19.7</v>
      </c>
      <c r="C98">
        <f>_xlfn.XLOOKUP(A98,'Do podmianki'!B:B,'Do podmianki'!C:C,L98)</f>
        <v>0.2</v>
      </c>
      <c r="K98">
        <v>19.7</v>
      </c>
      <c r="L98">
        <v>0.2</v>
      </c>
      <c r="Q98">
        <v>19.700001</v>
      </c>
      <c r="R98">
        <v>0.2</v>
      </c>
      <c r="U98">
        <v>2.8665880000000001</v>
      </c>
      <c r="V98">
        <v>0.2</v>
      </c>
    </row>
    <row r="99" spans="1:22" x14ac:dyDescent="0.25">
      <c r="A99" t="s">
        <v>99</v>
      </c>
      <c r="B99">
        <f>_xlfn.XLOOKUP(A99,'Do podmianki'!A:A,'Do podmianki'!B:B,K99)</f>
        <v>6.2</v>
      </c>
      <c r="C99">
        <f>_xlfn.XLOOKUP(A99,'Do podmianki'!B:B,'Do podmianki'!C:C,L99)</f>
        <v>1.9</v>
      </c>
      <c r="K99">
        <v>6.2</v>
      </c>
      <c r="L99">
        <v>1.9</v>
      </c>
      <c r="Q99">
        <v>6.2</v>
      </c>
      <c r="R99">
        <v>1.9</v>
      </c>
      <c r="U99">
        <v>21.704165</v>
      </c>
      <c r="V99">
        <v>1.9</v>
      </c>
    </row>
    <row r="100" spans="1:22" x14ac:dyDescent="0.25">
      <c r="A100" t="s">
        <v>100</v>
      </c>
      <c r="B100">
        <f>_xlfn.XLOOKUP(A100,'Do podmianki'!A:A,'Do podmianki'!B:B,K100)</f>
        <v>13.1</v>
      </c>
      <c r="C100">
        <f>_xlfn.XLOOKUP(A100,'Do podmianki'!B:B,'Do podmianki'!C:C,L100)</f>
        <v>5.7</v>
      </c>
      <c r="K100">
        <v>13.1</v>
      </c>
      <c r="L100">
        <v>5.7</v>
      </c>
      <c r="Q100">
        <v>13.1</v>
      </c>
      <c r="R100">
        <v>5.7</v>
      </c>
      <c r="U100">
        <v>66.204528999999894</v>
      </c>
      <c r="V100">
        <v>5.7</v>
      </c>
    </row>
    <row r="101" spans="1:22" x14ac:dyDescent="0.25">
      <c r="A101" t="s">
        <v>101</v>
      </c>
      <c r="B101">
        <f>_xlfn.XLOOKUP(A101,'Do podmianki'!A:A,'Do podmianki'!B:B,K101)</f>
        <v>17.399999999999999</v>
      </c>
      <c r="C101">
        <f>_xlfn.XLOOKUP(A101,'Do podmianki'!B:B,'Do podmianki'!C:C,L101)</f>
        <v>6.7</v>
      </c>
      <c r="K101">
        <v>17.399999999999999</v>
      </c>
      <c r="L101">
        <v>6.7</v>
      </c>
      <c r="Q101">
        <v>17.399999999999999</v>
      </c>
      <c r="R101">
        <v>6.7</v>
      </c>
      <c r="U101">
        <v>78.080391000000006</v>
      </c>
      <c r="V101">
        <v>6.7</v>
      </c>
    </row>
    <row r="102" spans="1:22" x14ac:dyDescent="0.25">
      <c r="A102" t="s">
        <v>102</v>
      </c>
      <c r="B102">
        <f>_xlfn.XLOOKUP(A102,'Do podmianki'!A:A,'Do podmianki'!B:B,K102)</f>
        <v>7.9</v>
      </c>
      <c r="C102">
        <f>_xlfn.XLOOKUP(A102,'Do podmianki'!B:B,'Do podmianki'!C:C,L102)</f>
        <v>3.1</v>
      </c>
      <c r="K102">
        <v>7.9</v>
      </c>
      <c r="L102">
        <v>3.1</v>
      </c>
      <c r="Q102">
        <v>7.9</v>
      </c>
      <c r="R102">
        <v>3.1</v>
      </c>
      <c r="U102">
        <v>36.719624000000003</v>
      </c>
      <c r="V102">
        <v>3.1</v>
      </c>
    </row>
    <row r="103" spans="1:22" x14ac:dyDescent="0.25">
      <c r="A103" t="s">
        <v>103</v>
      </c>
      <c r="B103">
        <f>_xlfn.XLOOKUP(A103,'Do podmianki'!A:A,'Do podmianki'!B:B,K103)</f>
        <v>36.612905613529612</v>
      </c>
      <c r="C103">
        <f>_xlfn.XLOOKUP(A103,'Do podmianki'!B:B,'Do podmianki'!C:C,L103)</f>
        <v>3</v>
      </c>
      <c r="K103">
        <v>37.6</v>
      </c>
      <c r="L103">
        <v>3</v>
      </c>
      <c r="Q103">
        <v>37.599997999999999</v>
      </c>
      <c r="R103">
        <v>3</v>
      </c>
      <c r="U103">
        <v>34.808566999999897</v>
      </c>
      <c r="V103">
        <v>3</v>
      </c>
    </row>
    <row r="104" spans="1:22" x14ac:dyDescent="0.25">
      <c r="A104" t="s">
        <v>104</v>
      </c>
      <c r="B104">
        <f>_xlfn.XLOOKUP(A104,'Do podmianki'!A:A,'Do podmianki'!B:B,K104)</f>
        <v>6.3</v>
      </c>
      <c r="C104">
        <f>_xlfn.XLOOKUP(A104,'Do podmianki'!B:B,'Do podmianki'!C:C,L104)</f>
        <v>0.1</v>
      </c>
      <c r="K104">
        <v>6.3</v>
      </c>
      <c r="L104">
        <v>0.1</v>
      </c>
      <c r="Q104">
        <v>6.3</v>
      </c>
      <c r="R104">
        <v>0.1</v>
      </c>
      <c r="U104">
        <v>1.0920339999999999</v>
      </c>
      <c r="V104">
        <v>0.1</v>
      </c>
    </row>
    <row r="105" spans="1:22" x14ac:dyDescent="0.25">
      <c r="A105" t="s">
        <v>105</v>
      </c>
      <c r="B105">
        <f>_xlfn.XLOOKUP(A105,'Do podmianki'!A:A,'Do podmianki'!B:B,K105)</f>
        <v>10.8</v>
      </c>
      <c r="C105">
        <f>_xlfn.XLOOKUP(A105,'Do podmianki'!B:B,'Do podmianki'!C:C,L105)</f>
        <v>0.7</v>
      </c>
      <c r="K105">
        <v>10.8</v>
      </c>
      <c r="L105">
        <v>0.7</v>
      </c>
      <c r="Q105">
        <v>10.8</v>
      </c>
      <c r="R105">
        <v>0.7</v>
      </c>
      <c r="U105">
        <v>8.3267559999999996</v>
      </c>
      <c r="V105">
        <v>0.7</v>
      </c>
    </row>
    <row r="106" spans="1:22" x14ac:dyDescent="0.25">
      <c r="A106" t="s">
        <v>106</v>
      </c>
      <c r="B106">
        <f>_xlfn.XLOOKUP(A106,'Do podmianki'!A:A,'Do podmianki'!B:B,K106)</f>
        <v>7</v>
      </c>
      <c r="C106">
        <f>_xlfn.XLOOKUP(A106,'Do podmianki'!B:B,'Do podmianki'!C:C,L106)</f>
        <v>0.9</v>
      </c>
      <c r="K106">
        <v>7</v>
      </c>
      <c r="L106">
        <v>0.9</v>
      </c>
      <c r="Q106">
        <v>7</v>
      </c>
      <c r="R106">
        <v>0.9</v>
      </c>
      <c r="U106">
        <v>10.5108219999999</v>
      </c>
      <c r="V106">
        <v>0.9</v>
      </c>
    </row>
    <row r="107" spans="1:22" x14ac:dyDescent="0.25">
      <c r="A107" t="s">
        <v>107</v>
      </c>
      <c r="B107">
        <f>_xlfn.XLOOKUP(A107,'Do podmianki'!A:A,'Do podmianki'!B:B,K107)</f>
        <v>5.3</v>
      </c>
      <c r="C107">
        <f>_xlfn.XLOOKUP(A107,'Do podmianki'!B:B,'Do podmianki'!C:C,L107)</f>
        <v>0.7</v>
      </c>
      <c r="K107">
        <v>5.3</v>
      </c>
      <c r="L107">
        <v>0.7</v>
      </c>
      <c r="Q107">
        <v>5.3</v>
      </c>
      <c r="R107">
        <v>0.7</v>
      </c>
      <c r="U107">
        <v>8.3267559999999996</v>
      </c>
      <c r="V107">
        <v>0.7</v>
      </c>
    </row>
    <row r="108" spans="1:22" x14ac:dyDescent="0.25">
      <c r="A108" t="s">
        <v>108</v>
      </c>
      <c r="B108">
        <f>_xlfn.XLOOKUP(A108,'Do podmianki'!A:A,'Do podmianki'!B:B,K108)</f>
        <v>7.6</v>
      </c>
      <c r="C108">
        <f>_xlfn.XLOOKUP(A108,'Do podmianki'!B:B,'Do podmianki'!C:C,L108)</f>
        <v>0.7</v>
      </c>
      <c r="K108">
        <v>7.6</v>
      </c>
      <c r="L108">
        <v>0.7</v>
      </c>
      <c r="Q108">
        <v>7.6</v>
      </c>
      <c r="R108">
        <v>0.7</v>
      </c>
      <c r="U108">
        <v>8.0537469999999995</v>
      </c>
      <c r="V108">
        <v>0.7</v>
      </c>
    </row>
    <row r="109" spans="1:22" x14ac:dyDescent="0.25">
      <c r="A109" t="s">
        <v>109</v>
      </c>
      <c r="B109">
        <f>_xlfn.XLOOKUP(A109,'Do podmianki'!A:A,'Do podmianki'!B:B,K109)</f>
        <v>6.6</v>
      </c>
      <c r="C109">
        <f>_xlfn.XLOOKUP(A109,'Do podmianki'!B:B,'Do podmianki'!C:C,L109)</f>
        <v>0.5</v>
      </c>
      <c r="K109">
        <v>6.6</v>
      </c>
      <c r="L109">
        <v>0.5</v>
      </c>
      <c r="Q109">
        <v>6.6</v>
      </c>
      <c r="R109">
        <v>0.5</v>
      </c>
      <c r="U109">
        <v>6.1426879999999997</v>
      </c>
      <c r="V109">
        <v>0.5</v>
      </c>
    </row>
    <row r="110" spans="1:22" x14ac:dyDescent="0.25">
      <c r="A110" t="s">
        <v>110</v>
      </c>
      <c r="B110">
        <f>_xlfn.XLOOKUP(A110,'Do podmianki'!A:A,'Do podmianki'!B:B,K110)</f>
        <v>5</v>
      </c>
      <c r="C110">
        <f>_xlfn.XLOOKUP(A110,'Do podmianki'!B:B,'Do podmianki'!C:C,L110)</f>
        <v>0.3</v>
      </c>
      <c r="K110">
        <v>5</v>
      </c>
      <c r="L110">
        <v>0.3</v>
      </c>
      <c r="Q110">
        <v>5</v>
      </c>
      <c r="R110">
        <v>0.3</v>
      </c>
      <c r="U110">
        <v>3.822117</v>
      </c>
      <c r="V110">
        <v>0.3</v>
      </c>
    </row>
    <row r="111" spans="1:22" x14ac:dyDescent="0.25">
      <c r="A111" t="s">
        <v>111</v>
      </c>
      <c r="B111">
        <f>_xlfn.XLOOKUP(A111,'Do podmianki'!A:A,'Do podmianki'!B:B,K111)</f>
        <v>7.7</v>
      </c>
      <c r="C111">
        <f>_xlfn.XLOOKUP(A111,'Do podmianki'!B:B,'Do podmianki'!C:C,L111)</f>
        <v>0.8</v>
      </c>
      <c r="K111">
        <v>7.7</v>
      </c>
      <c r="L111">
        <v>0.8</v>
      </c>
      <c r="Q111">
        <v>7.7</v>
      </c>
      <c r="R111">
        <v>0.8</v>
      </c>
      <c r="U111">
        <v>9.4187890000000003</v>
      </c>
      <c r="V111">
        <v>0.8</v>
      </c>
    </row>
    <row r="112" spans="1:22" x14ac:dyDescent="0.25">
      <c r="A112" t="s">
        <v>112</v>
      </c>
      <c r="B112">
        <f>_xlfn.XLOOKUP(A112,'Do podmianki'!A:A,'Do podmianki'!B:B,K112)</f>
        <v>9.8000000000000007</v>
      </c>
      <c r="C112">
        <f>_xlfn.XLOOKUP(A112,'Do podmianki'!B:B,'Do podmianki'!C:C,L112)</f>
        <v>0.4</v>
      </c>
      <c r="K112">
        <v>9.8000000000000007</v>
      </c>
      <c r="L112">
        <v>0.4</v>
      </c>
      <c r="Q112">
        <v>9.8000000000000007</v>
      </c>
      <c r="R112">
        <v>0.4</v>
      </c>
      <c r="U112">
        <v>4.5182890000000002</v>
      </c>
      <c r="V112">
        <v>0.4</v>
      </c>
    </row>
    <row r="113" spans="1:22" x14ac:dyDescent="0.25">
      <c r="A113" t="s">
        <v>113</v>
      </c>
      <c r="B113">
        <f>_xlfn.XLOOKUP(A113,'Do podmianki'!A:A,'Do podmianki'!B:B,K113)</f>
        <v>5.4</v>
      </c>
      <c r="C113">
        <f>_xlfn.XLOOKUP(A113,'Do podmianki'!B:B,'Do podmianki'!C:C,L113)</f>
        <v>0.2</v>
      </c>
      <c r="K113">
        <v>5.4</v>
      </c>
      <c r="L113">
        <v>0.2</v>
      </c>
      <c r="Q113">
        <v>5.4</v>
      </c>
      <c r="R113">
        <v>0.2</v>
      </c>
      <c r="U113">
        <v>2.7300840000000002</v>
      </c>
      <c r="V113">
        <v>0.2</v>
      </c>
    </row>
    <row r="114" spans="1:22" x14ac:dyDescent="0.25">
      <c r="A114" t="s">
        <v>114</v>
      </c>
      <c r="B114">
        <f>_xlfn.XLOOKUP(A114,'Do podmianki'!A:A,'Do podmianki'!B:B,K114)</f>
        <v>71</v>
      </c>
      <c r="C114">
        <f>_xlfn.XLOOKUP(A114,'Do podmianki'!B:B,'Do podmianki'!C:C,L114)</f>
        <v>1.4</v>
      </c>
      <c r="K114">
        <v>71</v>
      </c>
      <c r="L114">
        <v>1.4</v>
      </c>
      <c r="Q114">
        <v>71</v>
      </c>
      <c r="R114">
        <v>1.4</v>
      </c>
      <c r="U114">
        <v>15.8071839999999</v>
      </c>
      <c r="V114">
        <v>1.4</v>
      </c>
    </row>
    <row r="115" spans="1:22" x14ac:dyDescent="0.25">
      <c r="A115" t="s">
        <v>115</v>
      </c>
      <c r="B115">
        <f>_xlfn.XLOOKUP(A115,'Do podmianki'!A:A,'Do podmianki'!B:B,K115)</f>
        <v>4.2</v>
      </c>
      <c r="C115">
        <f>_xlfn.XLOOKUP(A115,'Do podmianki'!B:B,'Do podmianki'!C:C,L115)</f>
        <v>0</v>
      </c>
      <c r="K115">
        <v>4.2</v>
      </c>
      <c r="L115">
        <v>0</v>
      </c>
      <c r="Q115">
        <v>4.2</v>
      </c>
      <c r="R115">
        <v>0</v>
      </c>
      <c r="U115">
        <v>0.32761000000000001</v>
      </c>
      <c r="V115">
        <v>0</v>
      </c>
    </row>
    <row r="116" spans="1:22" x14ac:dyDescent="0.25">
      <c r="A116" t="s">
        <v>116</v>
      </c>
      <c r="B116">
        <f>_xlfn.XLOOKUP(A116,'Do podmianki'!A:A,'Do podmianki'!B:B,K116)</f>
        <v>4</v>
      </c>
      <c r="C116">
        <f>_xlfn.XLOOKUP(A116,'Do podmianki'!B:B,'Do podmianki'!C:C,L116)</f>
        <v>0.2</v>
      </c>
      <c r="K116">
        <v>4</v>
      </c>
      <c r="L116">
        <v>0.2</v>
      </c>
      <c r="Q116">
        <v>4</v>
      </c>
      <c r="R116">
        <v>0.2</v>
      </c>
      <c r="U116">
        <v>0.389569</v>
      </c>
      <c r="V116">
        <v>0.2</v>
      </c>
    </row>
    <row r="117" spans="1:22" x14ac:dyDescent="0.25">
      <c r="A117" t="s">
        <v>117</v>
      </c>
      <c r="B117">
        <f>_xlfn.XLOOKUP(A117,'Do podmianki'!A:A,'Do podmianki'!B:B,K117)</f>
        <v>5.2</v>
      </c>
      <c r="C117">
        <f>_xlfn.XLOOKUP(A117,'Do podmianki'!B:B,'Do podmianki'!C:C,L117)</f>
        <v>0.6</v>
      </c>
      <c r="K117">
        <v>5.2</v>
      </c>
      <c r="L117">
        <v>0.6</v>
      </c>
      <c r="Q117">
        <v>5.2</v>
      </c>
      <c r="R117">
        <v>0.6</v>
      </c>
      <c r="U117">
        <v>7.5077299999999996</v>
      </c>
      <c r="V117">
        <v>0.6</v>
      </c>
    </row>
    <row r="118" spans="1:22" x14ac:dyDescent="0.25">
      <c r="A118" t="s">
        <v>118</v>
      </c>
      <c r="B118">
        <f>_xlfn.XLOOKUP(A118,'Do podmianki'!A:A,'Do podmianki'!B:B,K118)</f>
        <v>5.3</v>
      </c>
      <c r="C118">
        <f>_xlfn.XLOOKUP(A118,'Do podmianki'!B:B,'Do podmianki'!C:C,L118)</f>
        <v>1</v>
      </c>
      <c r="K118">
        <v>5.3</v>
      </c>
      <c r="L118">
        <v>1</v>
      </c>
      <c r="Q118">
        <v>5.3</v>
      </c>
      <c r="R118">
        <v>1</v>
      </c>
      <c r="U118">
        <v>11.6028559999999</v>
      </c>
      <c r="V118">
        <v>1</v>
      </c>
    </row>
    <row r="119" spans="1:22" x14ac:dyDescent="0.25">
      <c r="A119" t="s">
        <v>119</v>
      </c>
      <c r="B119">
        <f>_xlfn.XLOOKUP(A119,'Do podmianki'!A:A,'Do podmianki'!B:B,K119)</f>
        <v>4.3</v>
      </c>
      <c r="C119">
        <f>_xlfn.XLOOKUP(A119,'Do podmianki'!B:B,'Do podmianki'!C:C,L119)</f>
        <v>1.8</v>
      </c>
      <c r="K119">
        <v>4.3</v>
      </c>
      <c r="L119">
        <v>1.8</v>
      </c>
      <c r="Q119">
        <v>4.3</v>
      </c>
      <c r="R119">
        <v>1.8</v>
      </c>
      <c r="U119">
        <v>21.158148000000001</v>
      </c>
      <c r="V119">
        <v>1.8</v>
      </c>
    </row>
    <row r="120" spans="1:22" x14ac:dyDescent="0.25">
      <c r="A120" t="s">
        <v>120</v>
      </c>
      <c r="B120">
        <f>_xlfn.XLOOKUP(A120,'Do podmianki'!A:A,'Do podmianki'!B:B,K120)</f>
        <v>9.4</v>
      </c>
      <c r="C120">
        <f>_xlfn.XLOOKUP(A120,'Do podmianki'!B:B,'Do podmianki'!C:C,L120)</f>
        <v>0.5</v>
      </c>
      <c r="K120">
        <v>9.4</v>
      </c>
      <c r="L120">
        <v>0.5</v>
      </c>
      <c r="Q120">
        <v>9.4</v>
      </c>
      <c r="R120">
        <v>0.5</v>
      </c>
      <c r="U120">
        <v>6.2791920000000001</v>
      </c>
      <c r="V120">
        <v>0.5</v>
      </c>
    </row>
    <row r="121" spans="1:22" x14ac:dyDescent="0.25">
      <c r="A121" t="s">
        <v>121</v>
      </c>
      <c r="B121">
        <f>_xlfn.XLOOKUP(A121,'Do podmianki'!A:A,'Do podmianki'!B:B,K121)</f>
        <v>7.8</v>
      </c>
      <c r="C121">
        <f>_xlfn.XLOOKUP(A121,'Do podmianki'!B:B,'Do podmianki'!C:C,L121)</f>
        <v>1</v>
      </c>
      <c r="K121">
        <v>7.8</v>
      </c>
      <c r="L121">
        <v>1</v>
      </c>
      <c r="Q121">
        <v>7.8</v>
      </c>
      <c r="R121">
        <v>1</v>
      </c>
      <c r="U121">
        <v>11.73936</v>
      </c>
      <c r="V121">
        <v>1</v>
      </c>
    </row>
    <row r="122" spans="1:22" x14ac:dyDescent="0.25">
      <c r="A122" t="s">
        <v>122</v>
      </c>
      <c r="B122">
        <f>_xlfn.XLOOKUP(A122,'Do podmianki'!A:A,'Do podmianki'!B:B,K122)</f>
        <v>5.2</v>
      </c>
      <c r="C122">
        <f>_xlfn.XLOOKUP(A122,'Do podmianki'!B:B,'Do podmianki'!C:C,L122)</f>
        <v>0.5</v>
      </c>
      <c r="K122">
        <v>5.2</v>
      </c>
      <c r="L122">
        <v>0.5</v>
      </c>
      <c r="Q122">
        <v>5.2</v>
      </c>
      <c r="R122">
        <v>0.5</v>
      </c>
      <c r="U122">
        <v>5.3236629999999998</v>
      </c>
      <c r="V122">
        <v>0.5</v>
      </c>
    </row>
    <row r="123" spans="1:22" x14ac:dyDescent="0.25">
      <c r="A123" t="s">
        <v>123</v>
      </c>
      <c r="B123">
        <f>_xlfn.XLOOKUP(A123,'Do podmianki'!A:A,'Do podmianki'!B:B,K123)</f>
        <v>4.0999999999999996</v>
      </c>
      <c r="C123">
        <f>_xlfn.XLOOKUP(A123,'Do podmianki'!B:B,'Do podmianki'!C:C,L123)</f>
        <v>2.2999999999999998</v>
      </c>
      <c r="K123">
        <v>4.0999999999999996</v>
      </c>
      <c r="L123">
        <v>2.2999999999999998</v>
      </c>
      <c r="Q123">
        <v>4.0999999999999996</v>
      </c>
      <c r="R123">
        <v>2.2999999999999998</v>
      </c>
      <c r="U123">
        <v>26.6183149999999</v>
      </c>
      <c r="V123">
        <v>2.2999999999999998</v>
      </c>
    </row>
    <row r="124" spans="1:22" x14ac:dyDescent="0.25">
      <c r="A124" t="s">
        <v>124</v>
      </c>
      <c r="B124">
        <f>_xlfn.XLOOKUP(A124,'Do podmianki'!A:A,'Do podmianki'!B:B,K124)</f>
        <v>4.7</v>
      </c>
      <c r="C124">
        <f>_xlfn.XLOOKUP(A124,'Do podmianki'!B:B,'Do podmianki'!C:C,L124)</f>
        <v>0.7</v>
      </c>
      <c r="K124">
        <v>4.7</v>
      </c>
      <c r="L124">
        <v>0.7</v>
      </c>
      <c r="Q124">
        <v>4.7</v>
      </c>
      <c r="R124">
        <v>0.7</v>
      </c>
      <c r="U124">
        <v>7.917243</v>
      </c>
      <c r="V124">
        <v>0.7</v>
      </c>
    </row>
    <row r="125" spans="1:22" x14ac:dyDescent="0.25">
      <c r="A125" t="s">
        <v>125</v>
      </c>
      <c r="B125">
        <f>_xlfn.XLOOKUP(A125,'Do podmianki'!A:A,'Do podmianki'!B:B,K125)</f>
        <v>9</v>
      </c>
      <c r="C125">
        <f>_xlfn.XLOOKUP(A125,'Do podmianki'!B:B,'Do podmianki'!C:C,L125)</f>
        <v>0.5</v>
      </c>
      <c r="K125">
        <v>9</v>
      </c>
      <c r="L125">
        <v>0.5</v>
      </c>
      <c r="Q125">
        <v>9</v>
      </c>
      <c r="R125">
        <v>0.5</v>
      </c>
      <c r="U125">
        <v>5.5966719999999999</v>
      </c>
      <c r="V125">
        <v>0.5</v>
      </c>
    </row>
    <row r="126" spans="1:22" x14ac:dyDescent="0.25">
      <c r="A126" t="s">
        <v>126</v>
      </c>
      <c r="B126">
        <f>_xlfn.XLOOKUP(A126,'Do podmianki'!A:A,'Do podmianki'!B:B,K126)</f>
        <v>10.8</v>
      </c>
      <c r="C126">
        <f>_xlfn.XLOOKUP(A126,'Do podmianki'!B:B,'Do podmianki'!C:C,L126)</f>
        <v>1.1000000000000001</v>
      </c>
      <c r="K126">
        <v>10.8</v>
      </c>
      <c r="L126">
        <v>1.1000000000000001</v>
      </c>
      <c r="Q126">
        <v>10.8</v>
      </c>
      <c r="R126">
        <v>1.1000000000000001</v>
      </c>
      <c r="U126">
        <v>12.5583849999999</v>
      </c>
      <c r="V126">
        <v>1.1000000000000001</v>
      </c>
    </row>
    <row r="127" spans="1:22" x14ac:dyDescent="0.25">
      <c r="A127" t="s">
        <v>127</v>
      </c>
      <c r="B127">
        <f>_xlfn.XLOOKUP(A127,'Do podmianki'!A:A,'Do podmianki'!B:B,K127)</f>
        <v>20</v>
      </c>
      <c r="C127">
        <f>_xlfn.XLOOKUP(A127,'Do podmianki'!B:B,'Do podmianki'!C:C,L127)</f>
        <v>4.0999999999999996</v>
      </c>
      <c r="K127">
        <v>20</v>
      </c>
      <c r="L127">
        <v>4.0999999999999996</v>
      </c>
      <c r="Q127">
        <v>20</v>
      </c>
      <c r="R127">
        <v>4.0999999999999996</v>
      </c>
      <c r="U127">
        <v>48.185977999999899</v>
      </c>
      <c r="V127">
        <v>4.0999999999999996</v>
      </c>
    </row>
    <row r="128" spans="1:22" x14ac:dyDescent="0.25">
      <c r="A128" t="s">
        <v>128</v>
      </c>
      <c r="B128">
        <f>_xlfn.XLOOKUP(A128,'Do podmianki'!A:A,'Do podmianki'!B:B,K128)</f>
        <v>4.3</v>
      </c>
      <c r="C128">
        <f>_xlfn.XLOOKUP(A128,'Do podmianki'!B:B,'Do podmianki'!C:C,L128)</f>
        <v>0.1</v>
      </c>
      <c r="K128">
        <v>4.3</v>
      </c>
      <c r="L128">
        <v>0.1</v>
      </c>
      <c r="Q128">
        <v>4.3</v>
      </c>
      <c r="R128">
        <v>0.1</v>
      </c>
      <c r="U128">
        <v>0.68252100000000004</v>
      </c>
      <c r="V128">
        <v>0.1</v>
      </c>
    </row>
    <row r="129" spans="1:22" x14ac:dyDescent="0.25">
      <c r="A129" t="s">
        <v>129</v>
      </c>
      <c r="B129">
        <f>_xlfn.XLOOKUP(A129,'Do podmianki'!A:A,'Do podmianki'!B:B,K129)</f>
        <v>7.2</v>
      </c>
      <c r="C129">
        <f>_xlfn.XLOOKUP(A129,'Do podmianki'!B:B,'Do podmianki'!C:C,L129)</f>
        <v>0.7</v>
      </c>
      <c r="K129">
        <v>7.2</v>
      </c>
      <c r="L129">
        <v>0.7</v>
      </c>
      <c r="Q129">
        <v>7.2</v>
      </c>
      <c r="R129">
        <v>0.7</v>
      </c>
      <c r="U129">
        <v>8.3267559999999996</v>
      </c>
      <c r="V129">
        <v>0.7</v>
      </c>
    </row>
    <row r="130" spans="1:22" x14ac:dyDescent="0.25">
      <c r="A130" t="s">
        <v>130</v>
      </c>
      <c r="B130">
        <f>_xlfn.XLOOKUP(A130,'Do podmianki'!A:A,'Do podmianki'!B:B,K130)</f>
        <v>8.9</v>
      </c>
      <c r="C130">
        <f>_xlfn.XLOOKUP(A130,'Do podmianki'!B:B,'Do podmianki'!C:C,L130)</f>
        <v>1.7</v>
      </c>
      <c r="K130">
        <v>8.9</v>
      </c>
      <c r="L130">
        <v>1.7</v>
      </c>
      <c r="Q130">
        <v>8.9</v>
      </c>
      <c r="R130">
        <v>1.7</v>
      </c>
      <c r="U130">
        <v>19.834057000000001</v>
      </c>
      <c r="V130">
        <v>1.7</v>
      </c>
    </row>
    <row r="131" spans="1:22" x14ac:dyDescent="0.25">
      <c r="A131" t="s">
        <v>131</v>
      </c>
      <c r="B131">
        <f>_xlfn.XLOOKUP(A131,'Do podmianki'!A:A,'Do podmianki'!B:B,K131)</f>
        <v>5.6</v>
      </c>
      <c r="C131">
        <f>_xlfn.XLOOKUP(A131,'Do podmianki'!B:B,'Do podmianki'!C:C,L131)</f>
        <v>0.3</v>
      </c>
      <c r="K131">
        <v>5.6</v>
      </c>
      <c r="L131">
        <v>0.3</v>
      </c>
      <c r="Q131">
        <v>5.6</v>
      </c>
      <c r="R131">
        <v>0.3</v>
      </c>
      <c r="U131">
        <v>3.8357679999999998</v>
      </c>
      <c r="V131">
        <v>0.3</v>
      </c>
    </row>
    <row r="132" spans="1:22" x14ac:dyDescent="0.25">
      <c r="A132" t="s">
        <v>132</v>
      </c>
      <c r="B132">
        <f>_xlfn.XLOOKUP(A132,'Do podmianki'!A:A,'Do podmianki'!B:B,K132)</f>
        <v>7.1</v>
      </c>
      <c r="C132">
        <f>_xlfn.XLOOKUP(A132,'Do podmianki'!B:B,'Do podmianki'!C:C,L132)</f>
        <v>0.8</v>
      </c>
      <c r="K132">
        <v>7.1</v>
      </c>
      <c r="L132">
        <v>0.8</v>
      </c>
      <c r="Q132">
        <v>7.1</v>
      </c>
      <c r="R132">
        <v>0.8</v>
      </c>
      <c r="U132">
        <v>9.4187890000000003</v>
      </c>
      <c r="V132">
        <v>0.8</v>
      </c>
    </row>
    <row r="133" spans="1:22" x14ac:dyDescent="0.25">
      <c r="A133" t="s">
        <v>133</v>
      </c>
      <c r="B133">
        <f>_xlfn.XLOOKUP(A133,'Do podmianki'!A:A,'Do podmianki'!B:B,K133)</f>
        <v>4.7</v>
      </c>
      <c r="C133">
        <f>_xlfn.XLOOKUP(A133,'Do podmianki'!B:B,'Do podmianki'!C:C,L133)</f>
        <v>0.2</v>
      </c>
      <c r="K133">
        <v>4.7</v>
      </c>
      <c r="L133">
        <v>0.2</v>
      </c>
      <c r="Q133">
        <v>4.7</v>
      </c>
      <c r="R133">
        <v>0.2</v>
      </c>
      <c r="U133">
        <v>1.9110590000000001</v>
      </c>
      <c r="V133">
        <v>0.2</v>
      </c>
    </row>
    <row r="134" spans="1:22" x14ac:dyDescent="0.25">
      <c r="A134" t="s">
        <v>134</v>
      </c>
      <c r="B134">
        <f>_xlfn.XLOOKUP(A134,'Do podmianki'!A:A,'Do podmianki'!B:B,K134)</f>
        <v>5</v>
      </c>
      <c r="C134">
        <f>_xlfn.XLOOKUP(A134,'Do podmianki'!B:B,'Do podmianki'!C:C,L134)</f>
        <v>0.1</v>
      </c>
      <c r="K134">
        <v>5</v>
      </c>
      <c r="L134">
        <v>0.1</v>
      </c>
      <c r="Q134">
        <v>5</v>
      </c>
      <c r="R134">
        <v>0.1</v>
      </c>
      <c r="U134">
        <v>1.3650420000000001</v>
      </c>
      <c r="V134">
        <v>0.1</v>
      </c>
    </row>
    <row r="135" spans="1:22" x14ac:dyDescent="0.25">
      <c r="A135" t="s">
        <v>135</v>
      </c>
      <c r="B135">
        <f>_xlfn.XLOOKUP(A135,'Do podmianki'!A:A,'Do podmianki'!B:B,K135)</f>
        <v>6.8</v>
      </c>
      <c r="C135">
        <f>_xlfn.XLOOKUP(A135,'Do podmianki'!B:B,'Do podmianki'!C:C,L135)</f>
        <v>0.3</v>
      </c>
      <c r="K135">
        <v>6.8</v>
      </c>
      <c r="L135">
        <v>0.3</v>
      </c>
      <c r="Q135">
        <v>6.8</v>
      </c>
      <c r="R135">
        <v>0.3</v>
      </c>
      <c r="U135">
        <v>3.0030920000000001</v>
      </c>
      <c r="V135">
        <v>0.3</v>
      </c>
    </row>
    <row r="136" spans="1:22" x14ac:dyDescent="0.25">
      <c r="A136" t="s">
        <v>136</v>
      </c>
      <c r="B136">
        <f>_xlfn.XLOOKUP(A136,'Do podmianki'!A:A,'Do podmianki'!B:B,K136)</f>
        <v>4.4000000000000004</v>
      </c>
      <c r="C136">
        <f>_xlfn.XLOOKUP(A136,'Do podmianki'!B:B,'Do podmianki'!C:C,L136)</f>
        <v>0.1</v>
      </c>
      <c r="K136">
        <v>4.4000000000000004</v>
      </c>
      <c r="L136">
        <v>0.1</v>
      </c>
      <c r="Q136">
        <v>4.4000000000000004</v>
      </c>
      <c r="R136">
        <v>0.1</v>
      </c>
      <c r="U136">
        <v>1.515196</v>
      </c>
      <c r="V136">
        <v>0.1</v>
      </c>
    </row>
    <row r="137" spans="1:22" x14ac:dyDescent="0.25">
      <c r="A137" t="s">
        <v>137</v>
      </c>
      <c r="B137">
        <f>_xlfn.XLOOKUP(A137,'Do podmianki'!A:A,'Do podmianki'!B:B,K137)</f>
        <v>16.2</v>
      </c>
      <c r="C137">
        <f>_xlfn.XLOOKUP(A137,'Do podmianki'!B:B,'Do podmianki'!C:C,L137)</f>
        <v>1.1000000000000001</v>
      </c>
      <c r="K137">
        <v>16.2</v>
      </c>
      <c r="L137">
        <v>1.1000000000000001</v>
      </c>
      <c r="Q137">
        <v>16.200001</v>
      </c>
      <c r="R137">
        <v>1.1000000000000001</v>
      </c>
      <c r="U137">
        <v>41.505130999999899</v>
      </c>
      <c r="V137">
        <v>1.1000000000000001</v>
      </c>
    </row>
    <row r="138" spans="1:22" x14ac:dyDescent="0.25">
      <c r="A138" t="s">
        <v>138</v>
      </c>
      <c r="B138">
        <f>_xlfn.XLOOKUP(A138,'Do podmianki'!A:A,'Do podmianki'!B:B,K138)</f>
        <v>4.3</v>
      </c>
      <c r="C138">
        <f>_xlfn.XLOOKUP(A138,'Do podmianki'!B:B,'Do podmianki'!C:C,L138)</f>
        <v>0.2</v>
      </c>
      <c r="K138">
        <v>4.3</v>
      </c>
      <c r="L138">
        <v>0.2</v>
      </c>
      <c r="Q138">
        <v>4.3</v>
      </c>
      <c r="R138">
        <v>0.2</v>
      </c>
      <c r="U138">
        <v>1.9110590000000001</v>
      </c>
      <c r="V138">
        <v>0.2</v>
      </c>
    </row>
    <row r="139" spans="1:22" x14ac:dyDescent="0.25">
      <c r="A139" t="s">
        <v>139</v>
      </c>
      <c r="B139">
        <f>_xlfn.XLOOKUP(A139,'Do podmianki'!A:A,'Do podmianki'!B:B,K139)</f>
        <v>27.8</v>
      </c>
      <c r="C139">
        <f>_xlfn.XLOOKUP(A139,'Do podmianki'!B:B,'Do podmianki'!C:C,L139)</f>
        <v>2.6</v>
      </c>
      <c r="K139">
        <v>27.8</v>
      </c>
      <c r="L139">
        <v>2.6</v>
      </c>
      <c r="Q139">
        <v>27.799999</v>
      </c>
      <c r="R139">
        <v>2.6</v>
      </c>
      <c r="U139">
        <v>29.757912000000001</v>
      </c>
      <c r="V139">
        <v>2.6</v>
      </c>
    </row>
    <row r="140" spans="1:22" x14ac:dyDescent="0.25">
      <c r="A140" t="s">
        <v>140</v>
      </c>
      <c r="B140">
        <f>_xlfn.XLOOKUP(A140,'Do podmianki'!A:A,'Do podmianki'!B:B,K140)</f>
        <v>61.713043818298232</v>
      </c>
      <c r="C140">
        <f>_xlfn.XLOOKUP(A140,'Do podmianki'!B:B,'Do podmianki'!C:C,L140)</f>
        <v>1.4</v>
      </c>
      <c r="K140">
        <v>70</v>
      </c>
      <c r="L140">
        <v>1.4</v>
      </c>
      <c r="Q140">
        <v>70</v>
      </c>
      <c r="R140">
        <v>1.4</v>
      </c>
      <c r="U140">
        <v>16.380503000000001</v>
      </c>
      <c r="V140">
        <v>1.4</v>
      </c>
    </row>
    <row r="141" spans="1:22" x14ac:dyDescent="0.25">
      <c r="A141" t="s">
        <v>141</v>
      </c>
      <c r="B141">
        <f>_xlfn.XLOOKUP(A141,'Do podmianki'!A:A,'Do podmianki'!B:B,K141)</f>
        <v>5.3</v>
      </c>
      <c r="C141">
        <f>_xlfn.XLOOKUP(A141,'Do podmianki'!B:B,'Do podmianki'!C:C,L141)</f>
        <v>0.3</v>
      </c>
      <c r="K141">
        <v>5.3</v>
      </c>
      <c r="L141">
        <v>0.3</v>
      </c>
      <c r="Q141">
        <v>5.3</v>
      </c>
      <c r="R141">
        <v>0.3</v>
      </c>
      <c r="U141">
        <v>4.0405239999999996</v>
      </c>
      <c r="V141">
        <v>0.3</v>
      </c>
    </row>
    <row r="142" spans="1:22" x14ac:dyDescent="0.25">
      <c r="A142" t="s">
        <v>142</v>
      </c>
      <c r="B142">
        <f>_xlfn.XLOOKUP(A142,'Do podmianki'!A:A,'Do podmianki'!B:B,K142)</f>
        <v>9.5</v>
      </c>
      <c r="C142">
        <f>_xlfn.XLOOKUP(A142,'Do podmianki'!B:B,'Do podmianki'!C:C,L142)</f>
        <v>2.7</v>
      </c>
      <c r="K142">
        <v>9.5</v>
      </c>
      <c r="L142">
        <v>2.7</v>
      </c>
      <c r="Q142">
        <v>9.5</v>
      </c>
      <c r="R142">
        <v>2.7</v>
      </c>
      <c r="U142">
        <v>30.986450000000001</v>
      </c>
      <c r="V142">
        <v>2.7</v>
      </c>
    </row>
    <row r="143" spans="1:22" x14ac:dyDescent="0.25">
      <c r="A143" t="s">
        <v>143</v>
      </c>
      <c r="B143">
        <f>_xlfn.XLOOKUP(A143,'Do podmianki'!A:A,'Do podmianki'!B:B,K143)</f>
        <v>4.5</v>
      </c>
      <c r="C143">
        <f>_xlfn.XLOOKUP(A143,'Do podmianki'!B:B,'Do podmianki'!C:C,L143)</f>
        <v>0.8</v>
      </c>
      <c r="K143">
        <v>4.5</v>
      </c>
      <c r="L143">
        <v>0.8</v>
      </c>
      <c r="Q143">
        <v>4.5</v>
      </c>
      <c r="R143">
        <v>0.8</v>
      </c>
      <c r="U143">
        <v>9.5552930000000007</v>
      </c>
      <c r="V143">
        <v>0.8</v>
      </c>
    </row>
    <row r="144" spans="1:22" x14ac:dyDescent="0.25">
      <c r="A144" t="s">
        <v>144</v>
      </c>
      <c r="B144">
        <f>_xlfn.XLOOKUP(A144,'Do podmianki'!A:A,'Do podmianki'!B:B,K144)</f>
        <v>4.3</v>
      </c>
      <c r="C144">
        <f>_xlfn.XLOOKUP(A144,'Do podmianki'!B:B,'Do podmianki'!C:C,L144)</f>
        <v>0.7</v>
      </c>
      <c r="K144">
        <v>4.3</v>
      </c>
      <c r="L144">
        <v>0.7</v>
      </c>
      <c r="Q144">
        <v>4.3</v>
      </c>
      <c r="R144">
        <v>0.7</v>
      </c>
      <c r="U144">
        <v>7.644234</v>
      </c>
      <c r="V144">
        <v>0.7</v>
      </c>
    </row>
    <row r="145" spans="1:22" x14ac:dyDescent="0.25">
      <c r="A145" t="s">
        <v>145</v>
      </c>
      <c r="B145">
        <f>_xlfn.XLOOKUP(A145,'Do podmianki'!A:A,'Do podmianki'!B:B,K145)</f>
        <v>8.6</v>
      </c>
      <c r="C145">
        <f>_xlfn.XLOOKUP(A145,'Do podmianki'!B:B,'Do podmianki'!C:C,L145)</f>
        <v>1.4</v>
      </c>
      <c r="K145">
        <v>8.6</v>
      </c>
      <c r="L145">
        <v>1.4</v>
      </c>
      <c r="Q145">
        <v>8.6</v>
      </c>
      <c r="R145">
        <v>1.4</v>
      </c>
      <c r="U145">
        <v>15.834485000000001</v>
      </c>
      <c r="V145">
        <v>1.4</v>
      </c>
    </row>
    <row r="146" spans="1:22" x14ac:dyDescent="0.25">
      <c r="A146" t="s">
        <v>146</v>
      </c>
      <c r="B146">
        <f>_xlfn.XLOOKUP(A146,'Do podmianki'!A:A,'Do podmianki'!B:B,K146)</f>
        <v>11.3</v>
      </c>
      <c r="C146">
        <f>_xlfn.XLOOKUP(A146,'Do podmianki'!B:B,'Do podmianki'!C:C,L146)</f>
        <v>0.7</v>
      </c>
      <c r="K146">
        <v>11.3</v>
      </c>
      <c r="L146">
        <v>0.7</v>
      </c>
      <c r="Q146">
        <v>11.3</v>
      </c>
      <c r="R146">
        <v>0.7</v>
      </c>
      <c r="U146">
        <v>7.7807380000000004</v>
      </c>
      <c r="V146">
        <v>0.7</v>
      </c>
    </row>
    <row r="147" spans="1:22" x14ac:dyDescent="0.25">
      <c r="A147" t="s">
        <v>147</v>
      </c>
      <c r="B147">
        <f>_xlfn.XLOOKUP(A147,'Do podmianki'!A:A,'Do podmianki'!B:B,K147)</f>
        <v>14.1</v>
      </c>
      <c r="C147">
        <f>_xlfn.XLOOKUP(A147,'Do podmianki'!B:B,'Do podmianki'!C:C,L147)</f>
        <v>2.6</v>
      </c>
      <c r="K147">
        <v>14.1</v>
      </c>
      <c r="L147">
        <v>2.6</v>
      </c>
      <c r="Q147">
        <v>14.1</v>
      </c>
      <c r="R147">
        <v>2.6</v>
      </c>
      <c r="U147">
        <v>30.576937000000001</v>
      </c>
      <c r="V147">
        <v>2.6</v>
      </c>
    </row>
    <row r="148" spans="1:22" x14ac:dyDescent="0.25">
      <c r="A148" t="s">
        <v>148</v>
      </c>
      <c r="B148">
        <f>_xlfn.XLOOKUP(A148,'Do podmianki'!A:A,'Do podmianki'!B:B,K148)</f>
        <v>23.5</v>
      </c>
      <c r="C148">
        <f>_xlfn.XLOOKUP(A148,'Do podmianki'!B:B,'Do podmianki'!C:C,L148)</f>
        <v>2.4</v>
      </c>
      <c r="K148">
        <v>23.5</v>
      </c>
      <c r="L148">
        <v>2.4</v>
      </c>
      <c r="Q148">
        <v>23.5</v>
      </c>
      <c r="R148">
        <v>2.4</v>
      </c>
      <c r="U148">
        <v>28.392869999999899</v>
      </c>
      <c r="V148">
        <v>2.4</v>
      </c>
    </row>
    <row r="149" spans="1:22" x14ac:dyDescent="0.25">
      <c r="A149" t="s">
        <v>149</v>
      </c>
      <c r="B149">
        <f>_xlfn.XLOOKUP(A149,'Do podmianki'!A:A,'Do podmianki'!B:B,K149)</f>
        <v>4.8</v>
      </c>
      <c r="C149">
        <f>_xlfn.XLOOKUP(A149,'Do podmianki'!B:B,'Do podmianki'!C:C,L149)</f>
        <v>0.9</v>
      </c>
      <c r="K149">
        <v>4.8</v>
      </c>
      <c r="L149">
        <v>0.9</v>
      </c>
      <c r="Q149">
        <v>4.8</v>
      </c>
      <c r="R149">
        <v>0.9</v>
      </c>
      <c r="U149">
        <v>10.10131</v>
      </c>
      <c r="V149">
        <v>0.9</v>
      </c>
    </row>
    <row r="150" spans="1:22" x14ac:dyDescent="0.25">
      <c r="A150" t="s">
        <v>150</v>
      </c>
      <c r="B150">
        <f>_xlfn.XLOOKUP(A150,'Do podmianki'!A:A,'Do podmianki'!B:B,K150)</f>
        <v>5.6</v>
      </c>
      <c r="C150">
        <f>_xlfn.XLOOKUP(A150,'Do podmianki'!B:B,'Do podmianki'!C:C,L150)</f>
        <v>0.2</v>
      </c>
      <c r="K150">
        <v>5.6</v>
      </c>
      <c r="L150">
        <v>0.2</v>
      </c>
      <c r="Q150">
        <v>5.6</v>
      </c>
      <c r="R150">
        <v>0.2</v>
      </c>
      <c r="U150">
        <v>2.6754820000000001</v>
      </c>
      <c r="V150">
        <v>0.2</v>
      </c>
    </row>
    <row r="151" spans="1:22" x14ac:dyDescent="0.25">
      <c r="A151" t="s">
        <v>151</v>
      </c>
      <c r="B151">
        <f>_xlfn.XLOOKUP(A151,'Do podmianki'!A:A,'Do podmianki'!B:B,K151)</f>
        <v>4</v>
      </c>
      <c r="C151">
        <f>_xlfn.XLOOKUP(A151,'Do podmianki'!B:B,'Do podmianki'!C:C,L151)</f>
        <v>0.3</v>
      </c>
      <c r="K151">
        <v>4</v>
      </c>
      <c r="L151">
        <v>0.3</v>
      </c>
      <c r="Q151">
        <v>4</v>
      </c>
      <c r="R151">
        <v>0.3</v>
      </c>
      <c r="U151">
        <v>3.5764100000000001</v>
      </c>
      <c r="V151">
        <v>0.3</v>
      </c>
    </row>
    <row r="152" spans="1:22" x14ac:dyDescent="0.25">
      <c r="A152" t="s">
        <v>152</v>
      </c>
      <c r="B152">
        <f>_xlfn.XLOOKUP(A152,'Do podmianki'!A:A,'Do podmianki'!B:B,K152)</f>
        <v>6.6</v>
      </c>
      <c r="C152">
        <f>_xlfn.XLOOKUP(A152,'Do podmianki'!B:B,'Do podmianki'!C:C,L152)</f>
        <v>0.3</v>
      </c>
      <c r="K152">
        <v>6.6</v>
      </c>
      <c r="L152">
        <v>0.3</v>
      </c>
      <c r="Q152">
        <v>6.6</v>
      </c>
      <c r="R152">
        <v>0.3</v>
      </c>
      <c r="U152">
        <v>3.822117</v>
      </c>
      <c r="V152">
        <v>0.3</v>
      </c>
    </row>
    <row r="153" spans="1:22" x14ac:dyDescent="0.25">
      <c r="A153" t="s">
        <v>153</v>
      </c>
      <c r="B153">
        <f>_xlfn.XLOOKUP(A153,'Do podmianki'!A:A,'Do podmianki'!B:B,K153)</f>
        <v>8.8000000000000007</v>
      </c>
      <c r="C153">
        <f>_xlfn.XLOOKUP(A153,'Do podmianki'!B:B,'Do podmianki'!C:C,L153)</f>
        <v>0.4</v>
      </c>
      <c r="K153">
        <v>8.8000000000000007</v>
      </c>
      <c r="L153">
        <v>0.4</v>
      </c>
      <c r="Q153">
        <v>8.8000000000000007</v>
      </c>
      <c r="R153">
        <v>0.4</v>
      </c>
      <c r="U153">
        <v>5.0506549999999999</v>
      </c>
      <c r="V153">
        <v>0.4</v>
      </c>
    </row>
    <row r="154" spans="1:22" x14ac:dyDescent="0.25">
      <c r="A154" t="s">
        <v>154</v>
      </c>
      <c r="B154">
        <f>_xlfn.XLOOKUP(A154,'Do podmianki'!A:A,'Do podmianki'!B:B,K154)</f>
        <v>7.4</v>
      </c>
      <c r="C154">
        <f>_xlfn.XLOOKUP(A154,'Do podmianki'!B:B,'Do podmianki'!C:C,L154)</f>
        <v>0.5</v>
      </c>
      <c r="K154">
        <v>7.4</v>
      </c>
      <c r="L154">
        <v>0.5</v>
      </c>
      <c r="Q154">
        <v>7.4</v>
      </c>
      <c r="R154">
        <v>0.5</v>
      </c>
      <c r="U154">
        <v>6.0334849999999998</v>
      </c>
      <c r="V154">
        <v>0.5</v>
      </c>
    </row>
    <row r="155" spans="1:22" x14ac:dyDescent="0.25">
      <c r="A155" t="s">
        <v>155</v>
      </c>
      <c r="B155">
        <f>_xlfn.XLOOKUP(A155,'Do podmianki'!A:A,'Do podmianki'!B:B,K155)</f>
        <v>13.8</v>
      </c>
      <c r="C155">
        <f>_xlfn.XLOOKUP(A155,'Do podmianki'!B:B,'Do podmianki'!C:C,L155)</f>
        <v>1.1000000000000001</v>
      </c>
      <c r="K155">
        <v>13.8</v>
      </c>
      <c r="L155">
        <v>1.1000000000000001</v>
      </c>
      <c r="Q155">
        <v>13.8</v>
      </c>
      <c r="R155">
        <v>1.1000000000000001</v>
      </c>
      <c r="U155">
        <v>13.104402</v>
      </c>
      <c r="V155">
        <v>1.1000000000000001</v>
      </c>
    </row>
    <row r="156" spans="1:22" x14ac:dyDescent="0.25">
      <c r="A156" t="s">
        <v>156</v>
      </c>
      <c r="B156">
        <f>_xlfn.XLOOKUP(A156,'Do podmianki'!A:A,'Do podmianki'!B:B,K156)</f>
        <v>9.1999999999999993</v>
      </c>
      <c r="C156">
        <f>_xlfn.XLOOKUP(A156,'Do podmianki'!B:B,'Do podmianki'!C:C,L156)</f>
        <v>0.8</v>
      </c>
      <c r="K156">
        <v>9.1999999999999993</v>
      </c>
      <c r="L156">
        <v>0.8</v>
      </c>
      <c r="Q156">
        <v>9.1999999999999993</v>
      </c>
      <c r="R156">
        <v>0.8</v>
      </c>
      <c r="U156">
        <v>9.0092759999999998</v>
      </c>
      <c r="V156">
        <v>0.8</v>
      </c>
    </row>
    <row r="157" spans="1:22" x14ac:dyDescent="0.25">
      <c r="A157" t="s">
        <v>157</v>
      </c>
      <c r="B157">
        <f>_xlfn.XLOOKUP(A157,'Do podmianki'!A:A,'Do podmianki'!B:B,K157)</f>
        <v>5.9</v>
      </c>
      <c r="C157">
        <f>_xlfn.XLOOKUP(A157,'Do podmianki'!B:B,'Do podmianki'!C:C,L157)</f>
        <v>0.8</v>
      </c>
      <c r="K157">
        <v>5.9</v>
      </c>
      <c r="L157">
        <v>0.8</v>
      </c>
      <c r="Q157">
        <v>5.9</v>
      </c>
      <c r="R157">
        <v>0.8</v>
      </c>
      <c r="U157">
        <v>8.9601349999999904</v>
      </c>
      <c r="V157">
        <v>0.8</v>
      </c>
    </row>
    <row r="158" spans="1:22" x14ac:dyDescent="0.25">
      <c r="A158" t="s">
        <v>158</v>
      </c>
      <c r="B158">
        <f>_xlfn.XLOOKUP(A158,'Do podmianki'!A:A,'Do podmianki'!B:B,K158)</f>
        <v>6.2</v>
      </c>
      <c r="C158">
        <f>_xlfn.XLOOKUP(A158,'Do podmianki'!B:B,'Do podmianki'!C:C,L158)</f>
        <v>0.2</v>
      </c>
      <c r="K158">
        <v>6.2</v>
      </c>
      <c r="L158">
        <v>0.2</v>
      </c>
      <c r="Q158">
        <v>6.2</v>
      </c>
      <c r="R158">
        <v>0.2</v>
      </c>
      <c r="U158">
        <v>2.3751730000000002</v>
      </c>
      <c r="V158">
        <v>0.2</v>
      </c>
    </row>
    <row r="159" spans="1:22" x14ac:dyDescent="0.25">
      <c r="A159" t="s">
        <v>159</v>
      </c>
      <c r="B159">
        <f>_xlfn.XLOOKUP(A159,'Do podmianki'!A:A,'Do podmianki'!B:B,K159)</f>
        <v>5.4</v>
      </c>
      <c r="C159">
        <f>_xlfn.XLOOKUP(A159,'Do podmianki'!B:B,'Do podmianki'!C:C,L159)</f>
        <v>0.2</v>
      </c>
      <c r="K159">
        <v>5.4</v>
      </c>
      <c r="L159">
        <v>0.2</v>
      </c>
      <c r="Q159">
        <v>5.4</v>
      </c>
      <c r="R159">
        <v>0.2</v>
      </c>
      <c r="U159">
        <v>2.1567660000000002</v>
      </c>
      <c r="V159">
        <v>0.2</v>
      </c>
    </row>
    <row r="160" spans="1:22" x14ac:dyDescent="0.25">
      <c r="A160" t="s">
        <v>160</v>
      </c>
      <c r="B160">
        <f>_xlfn.XLOOKUP(A160,'Do podmianki'!A:A,'Do podmianki'!B:B,K160)</f>
        <v>8.4</v>
      </c>
      <c r="C160">
        <f>_xlfn.XLOOKUP(A160,'Do podmianki'!B:B,'Do podmianki'!C:C,L160)</f>
        <v>0.5</v>
      </c>
      <c r="K160">
        <v>8.4</v>
      </c>
      <c r="L160">
        <v>0.5</v>
      </c>
      <c r="Q160">
        <v>8.4</v>
      </c>
      <c r="R160">
        <v>0.5</v>
      </c>
      <c r="U160">
        <v>5.4465170000000001</v>
      </c>
      <c r="V160">
        <v>0.5</v>
      </c>
    </row>
    <row r="161" spans="1:22" x14ac:dyDescent="0.25">
      <c r="A161" t="s">
        <v>161</v>
      </c>
      <c r="B161">
        <f>_xlfn.XLOOKUP(A161,'Do podmianki'!A:A,'Do podmianki'!B:B,K161)</f>
        <v>8.1999999999999993</v>
      </c>
      <c r="C161">
        <f>_xlfn.XLOOKUP(A161,'Do podmianki'!B:B,'Do podmianki'!C:C,L161)</f>
        <v>0.8</v>
      </c>
      <c r="K161">
        <v>8.1999999999999993</v>
      </c>
      <c r="L161">
        <v>0.8</v>
      </c>
      <c r="Q161">
        <v>8.1999999999999993</v>
      </c>
      <c r="R161">
        <v>0.8</v>
      </c>
      <c r="U161">
        <v>9.1048290000000005</v>
      </c>
      <c r="V161">
        <v>0.8</v>
      </c>
    </row>
    <row r="162" spans="1:22" x14ac:dyDescent="0.25">
      <c r="A162" t="s">
        <v>162</v>
      </c>
      <c r="B162">
        <f>_xlfn.XLOOKUP(A162,'Do podmianki'!A:A,'Do podmianki'!B:B,K162)</f>
        <v>4.8</v>
      </c>
      <c r="C162">
        <f>_xlfn.XLOOKUP(A162,'Do podmianki'!B:B,'Do podmianki'!C:C,L162)</f>
        <v>1</v>
      </c>
      <c r="K162">
        <v>4.8</v>
      </c>
      <c r="L162">
        <v>1</v>
      </c>
      <c r="Q162">
        <v>4.8</v>
      </c>
      <c r="R162">
        <v>1</v>
      </c>
      <c r="U162">
        <v>11.398099</v>
      </c>
      <c r="V162">
        <v>1</v>
      </c>
    </row>
    <row r="163" spans="1:22" x14ac:dyDescent="0.25">
      <c r="A163" t="s">
        <v>163</v>
      </c>
      <c r="B163">
        <f>_xlfn.XLOOKUP(A163,'Do podmianki'!A:A,'Do podmianki'!B:B,K163)</f>
        <v>6.1</v>
      </c>
      <c r="C163">
        <f>_xlfn.XLOOKUP(A163,'Do podmianki'!B:B,'Do podmianki'!C:C,L163)</f>
        <v>1.1000000000000001</v>
      </c>
      <c r="K163">
        <v>6.1</v>
      </c>
      <c r="L163">
        <v>1.1000000000000001</v>
      </c>
      <c r="Q163">
        <v>6.1</v>
      </c>
      <c r="R163">
        <v>1.1000000000000001</v>
      </c>
      <c r="U163">
        <v>12.285377</v>
      </c>
      <c r="V163">
        <v>1.1000000000000001</v>
      </c>
    </row>
    <row r="164" spans="1:22" x14ac:dyDescent="0.25">
      <c r="A164" t="s">
        <v>164</v>
      </c>
      <c r="B164">
        <f>_xlfn.XLOOKUP(A164,'Do podmianki'!A:A,'Do podmianki'!B:B,K164)</f>
        <v>13.3</v>
      </c>
      <c r="C164">
        <f>_xlfn.XLOOKUP(A164,'Do podmianki'!B:B,'Do podmianki'!C:C,L164)</f>
        <v>1.7</v>
      </c>
      <c r="K164">
        <v>13.3</v>
      </c>
      <c r="L164">
        <v>1.7</v>
      </c>
      <c r="Q164">
        <v>13.3</v>
      </c>
      <c r="R164">
        <v>1.7</v>
      </c>
      <c r="U164">
        <v>20.20262</v>
      </c>
      <c r="V164">
        <v>1.7</v>
      </c>
    </row>
    <row r="165" spans="1:22" x14ac:dyDescent="0.25">
      <c r="A165" t="s">
        <v>165</v>
      </c>
      <c r="B165">
        <f>_xlfn.XLOOKUP(A165,'Do podmianki'!A:A,'Do podmianki'!B:B,K165)</f>
        <v>13.6</v>
      </c>
      <c r="C165">
        <f>_xlfn.XLOOKUP(A165,'Do podmianki'!B:B,'Do podmianki'!C:C,L165)</f>
        <v>0.9</v>
      </c>
      <c r="K165">
        <v>13.6</v>
      </c>
      <c r="L165">
        <v>0.9</v>
      </c>
      <c r="Q165">
        <v>13.6</v>
      </c>
      <c r="R165">
        <v>0.9</v>
      </c>
      <c r="U165">
        <v>10.6200259999999</v>
      </c>
      <c r="V165">
        <v>0.9</v>
      </c>
    </row>
    <row r="166" spans="1:22" x14ac:dyDescent="0.25">
      <c r="A166" t="s">
        <v>166</v>
      </c>
      <c r="B166">
        <f>_xlfn.XLOOKUP(A166,'Do podmianki'!A:A,'Do podmianki'!B:B,K166)</f>
        <v>6.4</v>
      </c>
      <c r="C166">
        <f>_xlfn.XLOOKUP(A166,'Do podmianki'!B:B,'Do podmianki'!C:C,L166)</f>
        <v>0.4</v>
      </c>
      <c r="K166">
        <v>6.4</v>
      </c>
      <c r="L166">
        <v>0.4</v>
      </c>
      <c r="Q166">
        <v>6.4</v>
      </c>
      <c r="R166">
        <v>0.4</v>
      </c>
      <c r="U166">
        <v>4.3681340000000004</v>
      </c>
      <c r="V166">
        <v>0.4</v>
      </c>
    </row>
    <row r="167" spans="1:22" x14ac:dyDescent="0.25">
      <c r="A167" t="s">
        <v>167</v>
      </c>
      <c r="B167">
        <f>_xlfn.XLOOKUP(A167,'Do podmianki'!A:A,'Do podmianki'!B:B,K167)</f>
        <v>4.7</v>
      </c>
      <c r="C167">
        <f>_xlfn.XLOOKUP(A167,'Do podmianki'!B:B,'Do podmianki'!C:C,L167)</f>
        <v>0.1</v>
      </c>
      <c r="K167">
        <v>4.7</v>
      </c>
      <c r="L167">
        <v>0.1</v>
      </c>
      <c r="Q167">
        <v>4.7</v>
      </c>
      <c r="R167">
        <v>0.1</v>
      </c>
      <c r="U167">
        <v>1.3650420000000001</v>
      </c>
      <c r="V167">
        <v>0.1</v>
      </c>
    </row>
    <row r="168" spans="1:22" x14ac:dyDescent="0.25">
      <c r="A168" t="s">
        <v>168</v>
      </c>
      <c r="B168">
        <v>30</v>
      </c>
      <c r="C168">
        <f>_xlfn.XLOOKUP(A168,'Do podmianki'!B:B,'Do podmianki'!C:C,L168)</f>
        <v>0.6</v>
      </c>
      <c r="K168">
        <v>1</v>
      </c>
      <c r="L168">
        <v>0.6</v>
      </c>
      <c r="Q168">
        <v>1</v>
      </c>
      <c r="R168">
        <v>0.6</v>
      </c>
      <c r="U168">
        <v>6.770607</v>
      </c>
      <c r="V168">
        <v>0.6</v>
      </c>
    </row>
    <row r="169" spans="1:22" x14ac:dyDescent="0.25">
      <c r="A169" t="s">
        <v>169</v>
      </c>
      <c r="B169">
        <f>_xlfn.XLOOKUP(A169,'Do podmianki'!A:A,'Do podmianki'!B:B,K169)</f>
        <v>4.4000000000000004</v>
      </c>
      <c r="C169">
        <f>_xlfn.XLOOKUP(A169,'Do podmianki'!B:B,'Do podmianki'!C:C,L169)</f>
        <v>0.3</v>
      </c>
      <c r="K169">
        <v>4.4000000000000004</v>
      </c>
      <c r="L169">
        <v>0.3</v>
      </c>
      <c r="Q169">
        <v>4.4000000000000004</v>
      </c>
      <c r="R169">
        <v>0.3</v>
      </c>
      <c r="U169">
        <v>0.627919</v>
      </c>
      <c r="V169">
        <v>0.3</v>
      </c>
    </row>
    <row r="170" spans="1:22" x14ac:dyDescent="0.25">
      <c r="A170" t="s">
        <v>170</v>
      </c>
      <c r="B170">
        <f>_xlfn.XLOOKUP(A170,'Do podmianki'!A:A,'Do podmianki'!B:B,K170)</f>
        <v>16.3</v>
      </c>
      <c r="C170">
        <f>_xlfn.XLOOKUP(A170,'Do podmianki'!B:B,'Do podmianki'!C:C,L170)</f>
        <v>0.1</v>
      </c>
      <c r="K170">
        <v>16.3</v>
      </c>
      <c r="L170">
        <v>0.1</v>
      </c>
      <c r="Q170">
        <v>16.299999</v>
      </c>
      <c r="R170">
        <v>0.1</v>
      </c>
      <c r="U170">
        <v>18.673773000000001</v>
      </c>
      <c r="V170">
        <v>0.1</v>
      </c>
    </row>
    <row r="171" spans="1:22" x14ac:dyDescent="0.25">
      <c r="A171" t="s">
        <v>171</v>
      </c>
      <c r="B171">
        <f>_xlfn.XLOOKUP(A171,'Do podmianki'!A:A,'Do podmianki'!B:B,K171)</f>
        <v>6.1</v>
      </c>
      <c r="C171">
        <f>_xlfn.XLOOKUP(A171,'Do podmianki'!B:B,'Do podmianki'!C:C,L171)</f>
        <v>1.6</v>
      </c>
      <c r="K171">
        <v>6.1</v>
      </c>
      <c r="L171">
        <v>1.6</v>
      </c>
      <c r="Q171">
        <v>6.1</v>
      </c>
      <c r="R171">
        <v>1.6</v>
      </c>
      <c r="U171">
        <v>4.1906790000000003</v>
      </c>
      <c r="V171">
        <v>1.6</v>
      </c>
    </row>
    <row r="172" spans="1:22" x14ac:dyDescent="0.25">
      <c r="A172" t="s">
        <v>172</v>
      </c>
      <c r="B172">
        <f>_xlfn.XLOOKUP(A172,'Do podmianki'!A:A,'Do podmianki'!B:B,K172)</f>
        <v>5.5</v>
      </c>
      <c r="C172">
        <f>_xlfn.XLOOKUP(A172,'Do podmianki'!B:B,'Do podmianki'!C:C,L172)</f>
        <v>0.4</v>
      </c>
      <c r="K172">
        <v>5.5</v>
      </c>
      <c r="L172">
        <v>0.4</v>
      </c>
      <c r="Q172">
        <v>5.5</v>
      </c>
      <c r="R172">
        <v>0.4</v>
      </c>
      <c r="U172">
        <v>11.3298469999999</v>
      </c>
      <c r="V172">
        <v>0.4</v>
      </c>
    </row>
    <row r="173" spans="1:22" x14ac:dyDescent="0.25">
      <c r="A173" t="s">
        <v>173</v>
      </c>
      <c r="B173">
        <f>_xlfn.XLOOKUP(A173,'Do podmianki'!A:A,'Do podmianki'!B:B,K173)</f>
        <v>9.6999999999999993</v>
      </c>
      <c r="C173">
        <f>_xlfn.XLOOKUP(A173,'Do podmianki'!B:B,'Do podmianki'!C:C,L173)</f>
        <v>1</v>
      </c>
      <c r="K173">
        <v>9.6999999999999993</v>
      </c>
      <c r="L173">
        <v>1</v>
      </c>
      <c r="Q173">
        <v>9.6999999999999993</v>
      </c>
      <c r="R173">
        <v>1</v>
      </c>
      <c r="U173">
        <v>8.5997640000000004</v>
      </c>
      <c r="V173">
        <v>1</v>
      </c>
    </row>
    <row r="174" spans="1:22" x14ac:dyDescent="0.25">
      <c r="A174" t="s">
        <v>174</v>
      </c>
      <c r="B174">
        <f>_xlfn.XLOOKUP(A174,'Do podmianki'!A:A,'Do podmianki'!B:B,K174)</f>
        <v>5.8</v>
      </c>
      <c r="C174">
        <f>_xlfn.XLOOKUP(A174,'Do podmianki'!B:B,'Do podmianki'!C:C,L174)</f>
        <v>0.7</v>
      </c>
      <c r="K174">
        <v>5.8</v>
      </c>
      <c r="L174">
        <v>0.7</v>
      </c>
      <c r="Q174">
        <v>5.8</v>
      </c>
      <c r="R174">
        <v>0.7</v>
      </c>
      <c r="U174">
        <v>2.6754820000000001</v>
      </c>
      <c r="V174">
        <v>0.7</v>
      </c>
    </row>
    <row r="175" spans="1:22" x14ac:dyDescent="0.25">
      <c r="A175" t="s">
        <v>175</v>
      </c>
      <c r="B175">
        <f>_xlfn.XLOOKUP(A175,'Do podmianki'!A:A,'Do podmianki'!B:B,K175)</f>
        <v>9</v>
      </c>
      <c r="C175">
        <f>_xlfn.XLOOKUP(A175,'Do podmianki'!B:B,'Do podmianki'!C:C,L175)</f>
        <v>0.2</v>
      </c>
      <c r="K175">
        <v>9</v>
      </c>
      <c r="L175">
        <v>0.2</v>
      </c>
      <c r="Q175">
        <v>9</v>
      </c>
      <c r="R175">
        <v>0.2</v>
      </c>
      <c r="U175">
        <v>3.5764100000000001</v>
      </c>
      <c r="V175">
        <v>0.2</v>
      </c>
    </row>
    <row r="176" spans="1:22" x14ac:dyDescent="0.25">
      <c r="A176" t="s">
        <v>176</v>
      </c>
      <c r="B176">
        <f>_xlfn.XLOOKUP(A176,'Do podmianki'!A:A,'Do podmianki'!B:B,K176)</f>
        <v>51.429257736731032</v>
      </c>
      <c r="C176">
        <f>_xlfn.XLOOKUP(A176,'Do podmianki'!B:B,'Do podmianki'!C:C,L176)</f>
        <v>0.3</v>
      </c>
      <c r="K176">
        <v>59.1</v>
      </c>
      <c r="L176">
        <v>0.3</v>
      </c>
      <c r="Q176">
        <v>6.1</v>
      </c>
      <c r="R176">
        <v>0.3</v>
      </c>
      <c r="U176">
        <v>2.4843760000000001</v>
      </c>
      <c r="V176">
        <v>0.3</v>
      </c>
    </row>
    <row r="177" spans="1:22" x14ac:dyDescent="0.25">
      <c r="A177" t="s">
        <v>177</v>
      </c>
      <c r="B177">
        <f>_xlfn.XLOOKUP(A177,'Do podmianki'!A:A,'Do podmianki'!B:B,K177)</f>
        <v>5</v>
      </c>
      <c r="C177">
        <f>_xlfn.XLOOKUP(A177,'Do podmianki'!B:B,'Do podmianki'!C:C,L177)</f>
        <v>0.2</v>
      </c>
      <c r="K177">
        <v>5</v>
      </c>
      <c r="L177">
        <v>0.2</v>
      </c>
      <c r="Q177">
        <v>5</v>
      </c>
      <c r="R177">
        <v>0.2</v>
      </c>
      <c r="U177">
        <v>1.924709</v>
      </c>
      <c r="V177">
        <v>0.2</v>
      </c>
    </row>
    <row r="178" spans="1:22" x14ac:dyDescent="0.25">
      <c r="A178" t="s">
        <v>178</v>
      </c>
      <c r="B178">
        <f>_xlfn.XLOOKUP(A178,'Do podmianki'!A:A,'Do podmianki'!B:B,K178)</f>
        <v>4.8</v>
      </c>
      <c r="C178">
        <f>_xlfn.XLOOKUP(A178,'Do podmianki'!B:B,'Do podmianki'!C:C,L178)</f>
        <v>0.2</v>
      </c>
      <c r="K178">
        <v>4.8</v>
      </c>
      <c r="L178">
        <v>0.2</v>
      </c>
      <c r="Q178">
        <v>4.8</v>
      </c>
      <c r="R178">
        <v>0.2</v>
      </c>
      <c r="U178">
        <v>2.6754820000000001</v>
      </c>
      <c r="V178">
        <v>0.2</v>
      </c>
    </row>
    <row r="179" spans="1:22" x14ac:dyDescent="0.25">
      <c r="A179" t="s">
        <v>179</v>
      </c>
      <c r="B179">
        <f>_xlfn.XLOOKUP(A179,'Do podmianki'!A:A,'Do podmianki'!B:B,K179)</f>
        <v>6.8</v>
      </c>
      <c r="C179">
        <f>_xlfn.XLOOKUP(A179,'Do podmianki'!B:B,'Do podmianki'!C:C,L179)</f>
        <v>0.2</v>
      </c>
      <c r="K179">
        <v>6.8</v>
      </c>
      <c r="L179">
        <v>0.2</v>
      </c>
      <c r="Q179">
        <v>6.8</v>
      </c>
      <c r="R179">
        <v>0.2</v>
      </c>
      <c r="U179">
        <v>3.5764100000000001</v>
      </c>
      <c r="V179">
        <v>0.2</v>
      </c>
    </row>
    <row r="180" spans="1:22" x14ac:dyDescent="0.25">
      <c r="A180" t="s">
        <v>180</v>
      </c>
      <c r="B180">
        <f>_xlfn.XLOOKUP(A180,'Do podmianki'!A:A,'Do podmianki'!B:B,K180)</f>
        <v>48.4</v>
      </c>
      <c r="C180">
        <f>_xlfn.XLOOKUP(A180,'Do podmianki'!B:B,'Do podmianki'!C:C,L180)</f>
        <v>0.3</v>
      </c>
      <c r="K180">
        <v>48.4</v>
      </c>
      <c r="L180">
        <v>0.3</v>
      </c>
      <c r="Q180">
        <v>48.400002000000001</v>
      </c>
      <c r="R180">
        <v>0.3</v>
      </c>
      <c r="U180">
        <v>73.029739000000006</v>
      </c>
      <c r="V180">
        <v>0.3</v>
      </c>
    </row>
    <row r="181" spans="1:22" x14ac:dyDescent="0.25">
      <c r="A181" t="s">
        <v>181</v>
      </c>
      <c r="B181">
        <f>_xlfn.XLOOKUP(A181,'Do podmianki'!A:A,'Do podmianki'!B:B,K181)</f>
        <v>4.7</v>
      </c>
      <c r="C181">
        <f>_xlfn.XLOOKUP(A181,'Do podmianki'!B:B,'Do podmianki'!C:C,L181)</f>
        <v>6.3</v>
      </c>
      <c r="K181">
        <v>4.7</v>
      </c>
      <c r="L181">
        <v>6.3</v>
      </c>
      <c r="Q181">
        <v>4.7</v>
      </c>
      <c r="R181">
        <v>6.3</v>
      </c>
      <c r="U181">
        <v>10.647326</v>
      </c>
      <c r="V181">
        <v>6.3</v>
      </c>
    </row>
    <row r="182" spans="1:22" x14ac:dyDescent="0.25">
      <c r="A182" t="s">
        <v>182</v>
      </c>
      <c r="B182">
        <f>_xlfn.XLOOKUP(A182,'Do podmianki'!A:A,'Do podmianki'!B:B,K182)</f>
        <v>9</v>
      </c>
      <c r="C182">
        <f>_xlfn.XLOOKUP(A182,'Do podmianki'!B:B,'Do podmianki'!C:C,L182)</f>
        <v>0.9</v>
      </c>
      <c r="K182">
        <v>9</v>
      </c>
      <c r="L182">
        <v>0.9</v>
      </c>
      <c r="Q182">
        <v>9</v>
      </c>
      <c r="R182">
        <v>0.9</v>
      </c>
      <c r="U182">
        <v>37.729754999999898</v>
      </c>
      <c r="V182">
        <v>0.9</v>
      </c>
    </row>
    <row r="183" spans="1:22" x14ac:dyDescent="0.25">
      <c r="A183" t="s">
        <v>183</v>
      </c>
      <c r="B183">
        <f>_xlfn.XLOOKUP(A183,'Do podmianki'!A:A,'Do podmianki'!B:B,K183)</f>
        <v>4.0999999999999996</v>
      </c>
      <c r="C183">
        <f>_xlfn.XLOOKUP(A183,'Do podmianki'!B:B,'Do podmianki'!C:C,L183)</f>
        <v>3.2</v>
      </c>
      <c r="K183">
        <v>4.0999999999999996</v>
      </c>
      <c r="L183">
        <v>3.2</v>
      </c>
      <c r="Q183">
        <v>4.0999999999999996</v>
      </c>
      <c r="R183">
        <v>3.2</v>
      </c>
      <c r="U183">
        <v>7.9035919999999997</v>
      </c>
      <c r="V183">
        <v>3.2</v>
      </c>
    </row>
    <row r="184" spans="1:22" x14ac:dyDescent="0.25">
      <c r="A184" t="s">
        <v>184</v>
      </c>
      <c r="B184">
        <f>_xlfn.XLOOKUP(A184,'Do podmianki'!A:A,'Do podmianki'!B:B,K184)</f>
        <v>51.4</v>
      </c>
      <c r="C184">
        <f>_xlfn.XLOOKUP(A184,'Do podmianki'!B:B,'Do podmianki'!C:C,L184)</f>
        <v>0.7</v>
      </c>
      <c r="K184">
        <v>51.4</v>
      </c>
      <c r="L184">
        <v>0.7</v>
      </c>
      <c r="Q184">
        <v>51.400002000000001</v>
      </c>
      <c r="R184">
        <v>0.7</v>
      </c>
      <c r="U184">
        <v>51.980792999999899</v>
      </c>
      <c r="V184">
        <v>0.7</v>
      </c>
    </row>
    <row r="185" spans="1:22" x14ac:dyDescent="0.25">
      <c r="A185" t="s">
        <v>185</v>
      </c>
      <c r="B185">
        <f>_xlfn.XLOOKUP(A185,'Do podmianki'!A:A,'Do podmianki'!B:B,K185)</f>
        <v>28</v>
      </c>
      <c r="C185">
        <f>_xlfn.XLOOKUP(A185,'Do podmianki'!B:B,'Do podmianki'!C:C,L185)</f>
        <v>4.5</v>
      </c>
      <c r="K185">
        <v>28</v>
      </c>
      <c r="L185">
        <v>4.5</v>
      </c>
      <c r="Q185">
        <v>10</v>
      </c>
      <c r="R185">
        <v>4.5</v>
      </c>
      <c r="U185">
        <v>7.917243</v>
      </c>
      <c r="V185">
        <v>4.5</v>
      </c>
    </row>
    <row r="186" spans="1:22" x14ac:dyDescent="0.25">
      <c r="A186" t="s">
        <v>186</v>
      </c>
      <c r="B186">
        <f>_xlfn.XLOOKUP(A186,'Do podmianki'!A:A,'Do podmianki'!B:B,K186)</f>
        <v>26.5</v>
      </c>
      <c r="C186">
        <f>_xlfn.XLOOKUP(A186,'Do podmianki'!B:B,'Do podmianki'!C:C,L186)</f>
        <v>0.7</v>
      </c>
      <c r="K186">
        <v>26.5</v>
      </c>
      <c r="L186">
        <v>0.7</v>
      </c>
      <c r="Q186">
        <v>26.5</v>
      </c>
      <c r="R186">
        <v>0.7</v>
      </c>
      <c r="U186">
        <v>23.096508</v>
      </c>
      <c r="V186">
        <v>0.7</v>
      </c>
    </row>
    <row r="187" spans="1:22" x14ac:dyDescent="0.25">
      <c r="A187" t="s">
        <v>187</v>
      </c>
      <c r="B187">
        <f>_xlfn.XLOOKUP(A187,'Do podmianki'!A:A,'Do podmianki'!B:B,K187)</f>
        <v>8.3000000000000007</v>
      </c>
      <c r="C187">
        <f>_xlfn.XLOOKUP(A187,'Do podmianki'!B:B,'Do podmianki'!C:C,L187)</f>
        <v>2</v>
      </c>
      <c r="K187">
        <v>8.3000000000000007</v>
      </c>
      <c r="L187">
        <v>2</v>
      </c>
      <c r="Q187">
        <v>8.3000000000000007</v>
      </c>
      <c r="R187">
        <v>2</v>
      </c>
      <c r="U187">
        <v>7.535031</v>
      </c>
      <c r="V187">
        <v>2</v>
      </c>
    </row>
    <row r="188" spans="1:22" x14ac:dyDescent="0.25">
      <c r="A188" t="s">
        <v>188</v>
      </c>
      <c r="B188">
        <f>_xlfn.XLOOKUP(A188,'Do podmianki'!A:A,'Do podmianki'!B:B,K188)</f>
        <v>12.9</v>
      </c>
      <c r="C188">
        <f>_xlfn.XLOOKUP(A188,'Do podmianki'!B:B,'Do podmianki'!C:C,L188)</f>
        <v>0.6</v>
      </c>
      <c r="K188">
        <v>12.9</v>
      </c>
      <c r="L188">
        <v>0.6</v>
      </c>
      <c r="Q188">
        <v>12.9</v>
      </c>
      <c r="R188">
        <v>0.6</v>
      </c>
      <c r="U188">
        <v>37.347546000000001</v>
      </c>
      <c r="V188">
        <v>0.6</v>
      </c>
    </row>
    <row r="189" spans="1:22" x14ac:dyDescent="0.25">
      <c r="A189" t="s">
        <v>189</v>
      </c>
      <c r="B189">
        <f>_xlfn.XLOOKUP(A189,'Do podmianki'!A:A,'Do podmianki'!B:B,K189)</f>
        <v>87.4</v>
      </c>
      <c r="C189">
        <f>_xlfn.XLOOKUP(A189,'Do podmianki'!B:B,'Do podmianki'!C:C,L189)</f>
        <v>3.2</v>
      </c>
      <c r="K189">
        <v>87.4</v>
      </c>
      <c r="L189">
        <v>3.2</v>
      </c>
      <c r="Q189">
        <v>87.400002000000001</v>
      </c>
      <c r="R189">
        <v>3.2</v>
      </c>
      <c r="U189" s="3">
        <v>112.848007</v>
      </c>
      <c r="V189">
        <v>3.2</v>
      </c>
    </row>
    <row r="190" spans="1:22" x14ac:dyDescent="0.25">
      <c r="A190" t="s">
        <v>190</v>
      </c>
      <c r="B190">
        <f>_xlfn.XLOOKUP(A190,'Do podmianki'!A:A,'Do podmianki'!B:B,K190)</f>
        <v>34.076782410540631</v>
      </c>
      <c r="C190">
        <f>_xlfn.XLOOKUP(A190,'Do podmianki'!B:B,'Do podmianki'!C:C,L190)</f>
        <v>9.6999999999999993</v>
      </c>
      <c r="K190">
        <v>45.6</v>
      </c>
      <c r="L190">
        <v>9.6999999999999993</v>
      </c>
      <c r="Q190">
        <v>45.599997999999999</v>
      </c>
      <c r="R190">
        <v>9.6999999999999993</v>
      </c>
      <c r="U190">
        <v>81.219986000000006</v>
      </c>
      <c r="V190">
        <v>9.6999999999999904</v>
      </c>
    </row>
    <row r="191" spans="1:22" x14ac:dyDescent="0.25">
      <c r="A191" t="s">
        <v>191</v>
      </c>
      <c r="B191">
        <f>_xlfn.XLOOKUP(A191,'Do podmianki'!A:A,'Do podmianki'!B:B,K191)</f>
        <v>8.1999999999999993</v>
      </c>
      <c r="C191">
        <f>_xlfn.XLOOKUP(A191,'Do podmianki'!B:B,'Do podmianki'!C:C,L191)</f>
        <v>7</v>
      </c>
      <c r="K191">
        <v>8.1999999999999993</v>
      </c>
      <c r="L191">
        <v>7</v>
      </c>
      <c r="Q191">
        <v>8.1999999999999993</v>
      </c>
      <c r="R191">
        <v>7</v>
      </c>
      <c r="U191">
        <v>21.8406699999999</v>
      </c>
      <c r="V191">
        <v>7</v>
      </c>
    </row>
    <row r="192" spans="1:22" x14ac:dyDescent="0.25">
      <c r="A192" t="s">
        <v>192</v>
      </c>
      <c r="B192">
        <f>_xlfn.XLOOKUP(A192,'Do podmianki'!A:A,'Do podmianki'!B:B,K192)</f>
        <v>33.799999999999997</v>
      </c>
      <c r="C192">
        <f>_xlfn.XLOOKUP(A192,'Do podmianki'!B:B,'Do podmianki'!C:C,L192)</f>
        <v>1.9</v>
      </c>
      <c r="K192">
        <v>33.799999999999997</v>
      </c>
      <c r="L192">
        <v>1.9</v>
      </c>
      <c r="Q192">
        <v>33.799999</v>
      </c>
      <c r="R192">
        <v>1.9</v>
      </c>
      <c r="U192">
        <v>52.922671999999899</v>
      </c>
      <c r="V192">
        <v>1.9</v>
      </c>
    </row>
    <row r="193" spans="1:22" x14ac:dyDescent="0.25">
      <c r="A193" t="s">
        <v>193</v>
      </c>
      <c r="B193">
        <f>_xlfn.XLOOKUP(A193,'Do podmianki'!A:A,'Do podmianki'!B:B,K193)</f>
        <v>30.9</v>
      </c>
      <c r="C193">
        <f>_xlfn.XLOOKUP(A193,'Do podmianki'!B:B,'Do podmianki'!C:C,L193)</f>
        <v>4.5</v>
      </c>
      <c r="K193">
        <v>30.9</v>
      </c>
      <c r="L193">
        <v>4.5</v>
      </c>
      <c r="Q193">
        <v>30.9</v>
      </c>
      <c r="R193">
        <v>4.5</v>
      </c>
      <c r="U193">
        <v>45.362288999999897</v>
      </c>
      <c r="V193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CJ68"/>
  <sheetViews>
    <sheetView workbookViewId="0">
      <selection activeCell="B7" sqref="A1:XFD1048576"/>
    </sheetView>
  </sheetViews>
  <sheetFormatPr defaultRowHeight="15" x14ac:dyDescent="0.25"/>
  <cols>
    <col min="2" max="2" width="9.7109375" bestFit="1" customWidth="1"/>
    <col min="5" max="5" width="9.85546875" bestFit="1" customWidth="1"/>
    <col min="12" max="12" width="11.140625" customWidth="1"/>
  </cols>
  <sheetData>
    <row r="1" spans="1:88" x14ac:dyDescent="0.25">
      <c r="A1" s="1" t="s">
        <v>0</v>
      </c>
      <c r="B1" s="1" t="s">
        <v>1</v>
      </c>
      <c r="C1" s="1" t="s">
        <v>2</v>
      </c>
      <c r="K1" t="s">
        <v>537</v>
      </c>
      <c r="O1" s="6" t="s">
        <v>549</v>
      </c>
      <c r="P1" s="6"/>
      <c r="T1" s="3"/>
      <c r="U1" s="6" t="s">
        <v>550</v>
      </c>
      <c r="V1" s="6"/>
      <c r="X1">
        <v>49.5</v>
      </c>
      <c r="Y1">
        <v>37.400002000000001</v>
      </c>
      <c r="Z1" s="3">
        <v>61.5</v>
      </c>
      <c r="AA1" s="3">
        <v>38.799999</v>
      </c>
      <c r="AB1">
        <v>24.700001</v>
      </c>
      <c r="AC1" s="3">
        <v>106.900002</v>
      </c>
      <c r="AD1">
        <v>29.5</v>
      </c>
      <c r="AE1">
        <v>84.699996999999897</v>
      </c>
      <c r="AF1">
        <v>49.5</v>
      </c>
      <c r="AG1">
        <v>29.5</v>
      </c>
      <c r="AH1">
        <v>3.1</v>
      </c>
      <c r="AI1" s="3">
        <v>197.699997</v>
      </c>
      <c r="AJ1" s="3">
        <v>291.39999399999999</v>
      </c>
      <c r="AK1">
        <v>51.5</v>
      </c>
      <c r="AL1" s="3">
        <v>54.0999979999999</v>
      </c>
      <c r="AM1">
        <v>14</v>
      </c>
      <c r="AN1">
        <v>30.1</v>
      </c>
      <c r="AO1">
        <v>18.700001</v>
      </c>
      <c r="AP1">
        <v>46.0999979999999</v>
      </c>
      <c r="AQ1">
        <v>36.799999</v>
      </c>
      <c r="AR1">
        <v>56.799999</v>
      </c>
      <c r="AS1">
        <v>20.5</v>
      </c>
      <c r="AT1">
        <v>44.0999979999999</v>
      </c>
      <c r="AU1" s="3">
        <v>103.599998</v>
      </c>
      <c r="AV1">
        <v>49.5</v>
      </c>
      <c r="AW1">
        <v>30.700001</v>
      </c>
      <c r="AX1">
        <v>26.1</v>
      </c>
      <c r="AY1">
        <v>38.799999</v>
      </c>
      <c r="AZ1">
        <v>27.399999999999899</v>
      </c>
      <c r="BA1">
        <v>3.3</v>
      </c>
      <c r="BB1" s="3">
        <v>40.799999</v>
      </c>
      <c r="BC1">
        <v>32.0999979999999</v>
      </c>
      <c r="BD1">
        <v>13.4</v>
      </c>
      <c r="BE1">
        <v>46.0999979999999</v>
      </c>
      <c r="BF1" s="3">
        <v>6.7</v>
      </c>
      <c r="BG1">
        <v>14.6999999999999</v>
      </c>
      <c r="BH1" s="3">
        <v>65.5</v>
      </c>
      <c r="BI1" s="3">
        <v>9.4</v>
      </c>
      <c r="BJ1">
        <v>11.6</v>
      </c>
      <c r="BK1" s="3">
        <v>145.699997</v>
      </c>
      <c r="BL1">
        <v>46.799999</v>
      </c>
      <c r="BM1">
        <v>37.400002000000001</v>
      </c>
      <c r="BN1">
        <v>77.5</v>
      </c>
      <c r="BO1">
        <v>10.6</v>
      </c>
      <c r="BP1">
        <v>38.0999979999999</v>
      </c>
      <c r="BQ1" s="3">
        <v>149.699997</v>
      </c>
      <c r="BR1">
        <v>139</v>
      </c>
      <c r="BS1">
        <v>18.700001</v>
      </c>
      <c r="BT1">
        <v>26.700001</v>
      </c>
      <c r="BU1">
        <v>44.5999979999999</v>
      </c>
      <c r="BV1">
        <v>55.799999</v>
      </c>
      <c r="BW1">
        <v>52</v>
      </c>
      <c r="BX1">
        <v>21.399999999999899</v>
      </c>
      <c r="BY1" s="3">
        <v>6.7</v>
      </c>
      <c r="BZ1">
        <v>236</v>
      </c>
      <c r="CA1">
        <v>40.299999</v>
      </c>
      <c r="CB1">
        <v>33.200001</v>
      </c>
      <c r="CC1">
        <v>80.199996999999897</v>
      </c>
      <c r="CD1">
        <v>60.200001</v>
      </c>
      <c r="CE1">
        <v>38.799999</v>
      </c>
      <c r="CF1">
        <v>42.0999979999999</v>
      </c>
      <c r="CG1">
        <v>64.199996999999897</v>
      </c>
      <c r="CH1">
        <v>98.900002000000001</v>
      </c>
      <c r="CI1">
        <v>38.799999</v>
      </c>
      <c r="CJ1">
        <v>1</v>
      </c>
    </row>
    <row r="2" spans="1:88" x14ac:dyDescent="0.25">
      <c r="A2" t="s">
        <v>195</v>
      </c>
      <c r="B2">
        <f>_xlfn.XLOOKUP(A2,'Do podmianki'!A:A,'Do podmianki'!B:B,K2)</f>
        <v>40.200000000000003</v>
      </c>
      <c r="C2">
        <v>20.100000000000001</v>
      </c>
      <c r="I2">
        <f>_xlfn.XLOOKUP(A2,'Do podmianki'!A:A,'Do podmianki'!B:B,Generators!B2)</f>
        <v>40.200000000000003</v>
      </c>
      <c r="K2">
        <v>40.200000000000003</v>
      </c>
      <c r="L2" s="3">
        <v>177.1</v>
      </c>
      <c r="O2">
        <v>47.4806209999999</v>
      </c>
      <c r="P2">
        <v>13.8098483480215</v>
      </c>
      <c r="U2">
        <v>40.102176999999998</v>
      </c>
      <c r="V2">
        <v>135.5</v>
      </c>
      <c r="X2" s="3">
        <v>135.5</v>
      </c>
      <c r="Y2">
        <v>-1</v>
      </c>
      <c r="Z2" s="3">
        <v>-135.5</v>
      </c>
      <c r="AA2">
        <v>2.2000000000000002</v>
      </c>
      <c r="AB2">
        <v>23.700001</v>
      </c>
      <c r="AC2">
        <v>76.400002000000001</v>
      </c>
      <c r="AD2" s="3">
        <v>135.5</v>
      </c>
      <c r="AE2" s="3">
        <v>135.5</v>
      </c>
      <c r="AF2">
        <v>-48.700001</v>
      </c>
      <c r="AG2" s="3">
        <v>-111.699997</v>
      </c>
      <c r="AH2">
        <v>-7.1</v>
      </c>
      <c r="AI2" s="3">
        <v>135.5</v>
      </c>
      <c r="AJ2">
        <v>-17.399999999999899</v>
      </c>
      <c r="AK2">
        <v>-10.6</v>
      </c>
      <c r="AL2">
        <v>-37.0999979999999</v>
      </c>
      <c r="AM2">
        <v>-17.600000000000001</v>
      </c>
      <c r="AN2">
        <v>-14.6999999999999</v>
      </c>
      <c r="AO2">
        <v>3.4</v>
      </c>
      <c r="AP2">
        <v>-5.0999999999999996</v>
      </c>
      <c r="AQ2" s="3">
        <v>135.5</v>
      </c>
      <c r="AR2">
        <v>-16.399999999999899</v>
      </c>
      <c r="AS2">
        <v>-4.5</v>
      </c>
      <c r="AT2" s="3">
        <v>135.5</v>
      </c>
      <c r="AU2">
        <v>-11.1</v>
      </c>
      <c r="AV2" s="3">
        <v>116.800003</v>
      </c>
      <c r="AW2" s="3">
        <v>113.5</v>
      </c>
      <c r="AX2">
        <v>-9.8000000000000007</v>
      </c>
      <c r="AY2">
        <v>-17</v>
      </c>
      <c r="AZ2">
        <v>-36.900002000000001</v>
      </c>
      <c r="BA2" s="3">
        <v>-135.5</v>
      </c>
      <c r="BB2" s="3">
        <v>135.5</v>
      </c>
      <c r="BC2">
        <v>113</v>
      </c>
      <c r="BD2">
        <v>4</v>
      </c>
      <c r="BE2" s="3">
        <v>120.5</v>
      </c>
      <c r="BF2">
        <v>78.800003000000004</v>
      </c>
      <c r="BG2" s="3">
        <v>-135.5</v>
      </c>
      <c r="BH2" s="3">
        <v>-135.5</v>
      </c>
      <c r="BI2" s="3">
        <v>119.699997</v>
      </c>
      <c r="BJ2" s="3">
        <v>-126.699997</v>
      </c>
      <c r="BK2" s="3">
        <v>135.5</v>
      </c>
      <c r="BL2">
        <v>-78.5</v>
      </c>
      <c r="BM2" s="3">
        <v>120.199997</v>
      </c>
      <c r="BN2" s="3">
        <v>-113.699997</v>
      </c>
      <c r="BO2" s="3">
        <v>-135.5</v>
      </c>
      <c r="BP2">
        <v>2.1</v>
      </c>
      <c r="BQ2">
        <v>9.6999999999999904</v>
      </c>
      <c r="BR2" s="3">
        <v>-135.5</v>
      </c>
      <c r="BS2" s="3">
        <v>-135.5</v>
      </c>
      <c r="BT2">
        <v>121</v>
      </c>
      <c r="BU2">
        <v>-8</v>
      </c>
      <c r="BV2">
        <v>-3.1</v>
      </c>
      <c r="BW2">
        <v>-2</v>
      </c>
      <c r="BX2" s="3">
        <v>135.5</v>
      </c>
      <c r="BY2">
        <v>-40.5999979999999</v>
      </c>
      <c r="BZ2">
        <v>-7.4</v>
      </c>
      <c r="CA2">
        <v>40.5999979999999</v>
      </c>
      <c r="CB2">
        <v>39.299999</v>
      </c>
      <c r="CC2">
        <v>53.5</v>
      </c>
      <c r="CD2" s="3">
        <v>-135.5</v>
      </c>
      <c r="CE2">
        <v>25.799999</v>
      </c>
      <c r="CF2">
        <v>0.7</v>
      </c>
      <c r="CG2">
        <v>-6.8</v>
      </c>
      <c r="CH2" s="3">
        <v>-135.5</v>
      </c>
      <c r="CI2">
        <v>0.8</v>
      </c>
      <c r="CJ2">
        <v>1</v>
      </c>
    </row>
    <row r="3" spans="1:88" x14ac:dyDescent="0.25">
      <c r="A3" t="s">
        <v>196</v>
      </c>
      <c r="B3">
        <f>_xlfn.XLOOKUP(A3,'Do podmianki'!A:A,'Do podmianki'!B:B,K3)</f>
        <v>30.5</v>
      </c>
      <c r="C3">
        <v>-1.2</v>
      </c>
      <c r="I3">
        <f>_xlfn.XLOOKUP(A3,'Do podmianki'!A:A,'Do podmianki'!B:B,Generators!B3)</f>
        <v>30.5</v>
      </c>
      <c r="K3">
        <v>30.5</v>
      </c>
      <c r="L3">
        <v>-1.2</v>
      </c>
      <c r="O3">
        <v>29.7747899999999</v>
      </c>
      <c r="P3">
        <v>3.7075993838515302</v>
      </c>
      <c r="U3">
        <v>28.530404000000001</v>
      </c>
      <c r="V3">
        <v>-1</v>
      </c>
    </row>
    <row r="4" spans="1:88" x14ac:dyDescent="0.25">
      <c r="A4" t="s">
        <v>197</v>
      </c>
      <c r="B4">
        <f>_xlfn.XLOOKUP(A4,'Do podmianki'!A:A,'Do podmianki'!B:B,K4)</f>
        <v>51.7</v>
      </c>
      <c r="C4">
        <v>-25.85</v>
      </c>
      <c r="I4">
        <f>_xlfn.XLOOKUP(A4,'Do podmianki'!A:A,'Do podmianki'!B:B,Generators!B4)</f>
        <v>51.7</v>
      </c>
      <c r="K4" s="3">
        <v>51.7</v>
      </c>
      <c r="L4" s="3">
        <v>-107.1</v>
      </c>
      <c r="O4">
        <v>53.949558000000003</v>
      </c>
      <c r="P4">
        <v>10.954924989276501</v>
      </c>
      <c r="U4">
        <v>53.927509309999998</v>
      </c>
      <c r="V4">
        <v>-135.5</v>
      </c>
    </row>
    <row r="5" spans="1:88" x14ac:dyDescent="0.25">
      <c r="A5" t="s">
        <v>198</v>
      </c>
      <c r="B5">
        <f>_xlfn.XLOOKUP(A5,'Do podmianki'!A:A,'Do podmianki'!B:B,K5)</f>
        <v>42.8</v>
      </c>
      <c r="C5">
        <v>11.9</v>
      </c>
      <c r="I5">
        <f>_xlfn.XLOOKUP(A5,'Do podmianki'!A:A,'Do podmianki'!B:B,Generators!B5)</f>
        <v>42.8</v>
      </c>
      <c r="K5" s="3">
        <v>42.8</v>
      </c>
      <c r="L5">
        <v>11.9</v>
      </c>
      <c r="O5">
        <v>41.749512000000003</v>
      </c>
      <c r="P5">
        <v>8.4775999888432807</v>
      </c>
      <c r="U5">
        <v>33.318725000000001</v>
      </c>
      <c r="V5">
        <v>2.2000000476837158</v>
      </c>
    </row>
    <row r="6" spans="1:88" x14ac:dyDescent="0.25">
      <c r="A6" t="s">
        <v>199</v>
      </c>
      <c r="B6">
        <f>_xlfn.XLOOKUP(A6,'Do podmianki'!A:A,'Do podmianki'!B:B,K6)</f>
        <v>22.9</v>
      </c>
      <c r="C6">
        <v>11.45</v>
      </c>
      <c r="I6">
        <f>_xlfn.XLOOKUP(A6,'Do podmianki'!A:A,'Do podmianki'!B:B,Generators!B6)</f>
        <v>22.9</v>
      </c>
      <c r="K6">
        <v>22.9</v>
      </c>
      <c r="L6">
        <v>59.1</v>
      </c>
      <c r="O6">
        <v>30.47617</v>
      </c>
      <c r="P6">
        <v>6.1884502614542098</v>
      </c>
      <c r="U6">
        <v>14.664228</v>
      </c>
      <c r="V6">
        <v>23.70000076293945</v>
      </c>
    </row>
    <row r="7" spans="1:88" x14ac:dyDescent="0.25">
      <c r="A7" t="s">
        <v>200</v>
      </c>
      <c r="B7">
        <f>_xlfn.XLOOKUP(A7,'Do podmianki'!A:A,'Do podmianki'!B:B,K7)</f>
        <v>100.1</v>
      </c>
      <c r="C7">
        <v>50.05</v>
      </c>
      <c r="I7">
        <f>_xlfn.XLOOKUP(A7,'Do podmianki'!A:A,'Do podmianki'!B:B,Generators!B7)</f>
        <v>100.1</v>
      </c>
      <c r="K7" s="3">
        <v>100.1</v>
      </c>
      <c r="L7">
        <v>88.5</v>
      </c>
      <c r="O7" s="3">
        <v>128.00129100000001</v>
      </c>
      <c r="P7" s="3">
        <v>8.4461844132424204</v>
      </c>
      <c r="U7">
        <v>95.315361019999997</v>
      </c>
      <c r="V7">
        <v>76.400001525878906</v>
      </c>
    </row>
    <row r="8" spans="1:88" x14ac:dyDescent="0.25">
      <c r="A8" t="s">
        <v>201</v>
      </c>
      <c r="B8">
        <f>_xlfn.XLOOKUP(A8,'Do podmianki'!A:A,'Do podmianki'!B:B,K8)</f>
        <v>29.3</v>
      </c>
      <c r="C8">
        <v>14.65</v>
      </c>
      <c r="I8">
        <f>_xlfn.XLOOKUP(A8,'Do podmianki'!A:A,'Do podmianki'!B:B,Generators!B8)</f>
        <v>29.3</v>
      </c>
      <c r="K8">
        <v>29.3</v>
      </c>
      <c r="L8" s="3">
        <v>142.5</v>
      </c>
      <c r="O8">
        <v>21.151520999999899</v>
      </c>
      <c r="P8">
        <v>4.2949995246320096</v>
      </c>
      <c r="U8">
        <v>20.825490949999999</v>
      </c>
      <c r="V8">
        <v>135.5</v>
      </c>
    </row>
    <row r="9" spans="1:88" x14ac:dyDescent="0.25">
      <c r="A9" t="s">
        <v>202</v>
      </c>
      <c r="B9">
        <v>50</v>
      </c>
      <c r="C9">
        <v>25</v>
      </c>
      <c r="I9">
        <f>_xlfn.XLOOKUP(A9,'Do podmianki'!A:A,'Do podmianki'!B:B,Generators!B9)</f>
        <v>50</v>
      </c>
      <c r="K9">
        <v>70.900000000000006</v>
      </c>
      <c r="L9" s="3">
        <v>230.3</v>
      </c>
      <c r="O9" s="3">
        <v>109.482392</v>
      </c>
      <c r="P9" s="3">
        <v>22.231347882527</v>
      </c>
      <c r="U9">
        <v>84.137733460000007</v>
      </c>
      <c r="V9">
        <v>135.5</v>
      </c>
    </row>
    <row r="10" spans="1:88" x14ac:dyDescent="0.25">
      <c r="A10" t="s">
        <v>203</v>
      </c>
      <c r="B10">
        <f>_xlfn.XLOOKUP(A10,'Do podmianki'!A:A,'Do podmianki'!B:B,K10)</f>
        <v>45.1</v>
      </c>
      <c r="C10">
        <v>-22.55</v>
      </c>
      <c r="I10">
        <f>_xlfn.XLOOKUP(A10,'Do podmianki'!A:A,'Do podmianki'!B:B,Generators!B10)</f>
        <v>45.1</v>
      </c>
      <c r="K10">
        <v>45.1</v>
      </c>
      <c r="L10">
        <v>-130.4</v>
      </c>
      <c r="O10">
        <v>35.789718999999899</v>
      </c>
      <c r="P10">
        <v>7.26741240460737</v>
      </c>
      <c r="U10">
        <v>52.139011379999999</v>
      </c>
      <c r="V10">
        <v>-48.700000762939453</v>
      </c>
    </row>
    <row r="11" spans="1:88" x14ac:dyDescent="0.25">
      <c r="A11" t="s">
        <v>204</v>
      </c>
      <c r="B11">
        <f>_xlfn.XLOOKUP(A11,'Do podmianki'!A:A,'Do podmianki'!B:B,K11)</f>
        <v>32.700000000000003</v>
      </c>
      <c r="C11">
        <v>-16.350000000000001</v>
      </c>
      <c r="I11">
        <f>_xlfn.XLOOKUP(A11,'Do podmianki'!A:A,'Do podmianki'!B:B,Generators!B11)</f>
        <v>32.700000000000003</v>
      </c>
      <c r="K11">
        <v>32.700000000000003</v>
      </c>
      <c r="L11" s="3">
        <v>-124.2</v>
      </c>
      <c r="O11">
        <v>37.960026999999897</v>
      </c>
      <c r="P11">
        <v>7.7081122402506299</v>
      </c>
      <c r="U11">
        <v>25.545900339999999</v>
      </c>
      <c r="V11">
        <v>-111.6999969482422</v>
      </c>
    </row>
    <row r="12" spans="1:88" x14ac:dyDescent="0.25">
      <c r="A12" t="s">
        <v>205</v>
      </c>
      <c r="B12">
        <f>_xlfn.XLOOKUP(A12,'Do podmianki'!A:A,'Do podmianki'!B:B,K12)</f>
        <v>3.6</v>
      </c>
      <c r="C12">
        <v>-1.8</v>
      </c>
      <c r="I12">
        <f>_xlfn.XLOOKUP(A12,'Do podmianki'!A:A,'Do podmianki'!B:B,Generators!B12)</f>
        <v>3.6</v>
      </c>
      <c r="K12">
        <v>3.6</v>
      </c>
      <c r="L12">
        <v>-7.4</v>
      </c>
      <c r="O12">
        <v>2.6394319999999998</v>
      </c>
      <c r="P12">
        <v>0.53595952675453096</v>
      </c>
      <c r="U12">
        <v>4.1056690219999998</v>
      </c>
      <c r="V12">
        <v>-7.0999999046325684</v>
      </c>
    </row>
    <row r="13" spans="1:88" x14ac:dyDescent="0.25">
      <c r="A13" t="s">
        <v>206</v>
      </c>
      <c r="B13">
        <v>100</v>
      </c>
      <c r="C13">
        <v>50</v>
      </c>
      <c r="I13">
        <f>_xlfn.XLOOKUP(A13,'Do podmianki'!A:A,'Do podmianki'!B:B,Generators!B13)</f>
        <v>100</v>
      </c>
      <c r="K13" s="3">
        <v>196.7</v>
      </c>
      <c r="L13" s="3">
        <v>144.4</v>
      </c>
      <c r="O13" s="3">
        <v>189.37579299999999</v>
      </c>
      <c r="P13" s="3">
        <v>1.7326623657676E-2</v>
      </c>
      <c r="U13">
        <v>174.97290039999999</v>
      </c>
      <c r="V13">
        <v>135.5</v>
      </c>
    </row>
    <row r="14" spans="1:88" x14ac:dyDescent="0.25">
      <c r="A14" t="s">
        <v>207</v>
      </c>
      <c r="B14">
        <v>230</v>
      </c>
      <c r="C14">
        <v>-18.3</v>
      </c>
      <c r="I14">
        <f>_xlfn.XLOOKUP(A14,'Do podmianki'!A:A,'Do podmianki'!B:B,Generators!B14)</f>
        <v>230</v>
      </c>
      <c r="K14" s="3">
        <v>302.60000000000002</v>
      </c>
      <c r="L14">
        <v>-18.3</v>
      </c>
      <c r="O14" s="3">
        <v>421.891907</v>
      </c>
      <c r="P14" s="3">
        <v>6.3983367018391996E-2</v>
      </c>
      <c r="U14">
        <v>393.346405</v>
      </c>
      <c r="V14">
        <v>-17.39999961853027</v>
      </c>
    </row>
    <row r="15" spans="1:88" x14ac:dyDescent="0.25">
      <c r="A15" t="s">
        <v>208</v>
      </c>
      <c r="B15">
        <f>_xlfn.XLOOKUP(A15,'Do podmianki'!A:A,'Do podmianki'!B:B,K15)</f>
        <v>44.9</v>
      </c>
      <c r="C15">
        <v>-22.45</v>
      </c>
      <c r="I15">
        <f>_xlfn.XLOOKUP(A15,'Do podmianki'!A:A,'Do podmianki'!B:B,Generators!B15)</f>
        <v>44.9</v>
      </c>
      <c r="K15">
        <v>44.9</v>
      </c>
      <c r="L15">
        <v>-61.8</v>
      </c>
      <c r="O15">
        <v>56.853371000000003</v>
      </c>
      <c r="P15">
        <v>11.5445693677881</v>
      </c>
      <c r="U15">
        <v>67.460548399999993</v>
      </c>
      <c r="V15">
        <v>-10.60000038146973</v>
      </c>
    </row>
    <row r="16" spans="1:88" x14ac:dyDescent="0.25">
      <c r="A16" t="s">
        <v>209</v>
      </c>
      <c r="B16">
        <f>_xlfn.XLOOKUP(A16,'Do podmianki'!A:A,'Do podmianki'!B:B,K16)</f>
        <v>49.8</v>
      </c>
      <c r="C16">
        <v>-19.600000000000001</v>
      </c>
      <c r="I16">
        <f>_xlfn.XLOOKUP(A16,'Do podmianki'!A:A,'Do podmianki'!B:B,Generators!B16)</f>
        <v>49.8</v>
      </c>
      <c r="K16" s="3">
        <v>49.8</v>
      </c>
      <c r="L16">
        <v>-19.600000000000001</v>
      </c>
      <c r="O16">
        <v>71.028419</v>
      </c>
      <c r="P16">
        <v>14.4229356290908</v>
      </c>
      <c r="U16">
        <v>58.168899539999998</v>
      </c>
      <c r="V16">
        <v>-37.099998474121087</v>
      </c>
    </row>
    <row r="17" spans="1:22" x14ac:dyDescent="0.25">
      <c r="A17" t="s">
        <v>210</v>
      </c>
      <c r="B17">
        <f>_xlfn.XLOOKUP(A17,'Do podmianki'!A:A,'Do podmianki'!B:B,K17)</f>
        <v>13.1</v>
      </c>
      <c r="C17">
        <v>-6.55</v>
      </c>
      <c r="I17">
        <f>_xlfn.XLOOKUP(A17,'Do podmianki'!A:A,'Do podmianki'!B:B,Generators!B17)</f>
        <v>13.1</v>
      </c>
      <c r="K17">
        <v>13.1</v>
      </c>
      <c r="L17">
        <v>-10.6</v>
      </c>
      <c r="O17">
        <v>14.6290099999999</v>
      </c>
      <c r="P17">
        <v>2.9705471770014502</v>
      </c>
      <c r="U17">
        <v>15.289910320000001</v>
      </c>
      <c r="V17">
        <v>-17.60000038146973</v>
      </c>
    </row>
    <row r="18" spans="1:22" x14ac:dyDescent="0.25">
      <c r="A18" t="s">
        <v>211</v>
      </c>
      <c r="B18">
        <f>_xlfn.XLOOKUP(A18,'Do podmianki'!A:A,'Do podmianki'!B:B,K18)</f>
        <v>32.700000000000003</v>
      </c>
      <c r="C18">
        <v>-12.9</v>
      </c>
      <c r="I18">
        <f>_xlfn.XLOOKUP(A18,'Do podmianki'!A:A,'Do podmianki'!B:B,Generators!B18)</f>
        <v>32.700000000000003</v>
      </c>
      <c r="K18">
        <v>32.700000000000003</v>
      </c>
      <c r="L18">
        <v>-12.9</v>
      </c>
      <c r="O18">
        <v>42.369689999999899</v>
      </c>
      <c r="P18">
        <v>8.6035325028779503</v>
      </c>
      <c r="U18">
        <v>27.81138992</v>
      </c>
      <c r="V18">
        <v>-14.69999980926514</v>
      </c>
    </row>
    <row r="19" spans="1:22" x14ac:dyDescent="0.25">
      <c r="A19" t="s">
        <v>212</v>
      </c>
      <c r="B19">
        <f>_xlfn.XLOOKUP(A19,'Do podmianki'!A:A,'Do podmianki'!B:B,K19)</f>
        <v>17.899999999999999</v>
      </c>
      <c r="C19">
        <v>-8.9499999999999993</v>
      </c>
      <c r="I19">
        <f>_xlfn.XLOOKUP(A19,'Do podmianki'!A:A,'Do podmianki'!B:B,Generators!B19)</f>
        <v>17.899999999999999</v>
      </c>
      <c r="K19">
        <v>17.899999999999999</v>
      </c>
      <c r="L19">
        <v>-15.4</v>
      </c>
      <c r="O19">
        <v>19.463961000000001</v>
      </c>
      <c r="P19">
        <v>3.9523258512924899</v>
      </c>
      <c r="U19">
        <v>20.316219329999999</v>
      </c>
      <c r="V19">
        <v>3.4000000953674321</v>
      </c>
    </row>
    <row r="20" spans="1:22" x14ac:dyDescent="0.25">
      <c r="A20" t="s">
        <v>213</v>
      </c>
      <c r="B20">
        <f>_xlfn.XLOOKUP(A20,'Do podmianki'!A:A,'Do podmianki'!B:B,K20)</f>
        <v>54.9</v>
      </c>
      <c r="C20">
        <v>-19.600000000000001</v>
      </c>
      <c r="I20">
        <f>_xlfn.XLOOKUP(A20,'Do podmianki'!A:A,'Do podmianki'!B:B,Generators!B20)</f>
        <v>54.9</v>
      </c>
      <c r="K20">
        <v>54.9</v>
      </c>
      <c r="L20">
        <v>-19.600000000000001</v>
      </c>
      <c r="O20">
        <v>43.477249</v>
      </c>
      <c r="P20">
        <v>8.8284319499910904</v>
      </c>
      <c r="U20">
        <v>50.183391569999998</v>
      </c>
      <c r="V20">
        <v>-5.0999999046325684</v>
      </c>
    </row>
    <row r="21" spans="1:22" x14ac:dyDescent="0.25">
      <c r="A21" t="s">
        <v>214</v>
      </c>
      <c r="B21">
        <f>_xlfn.XLOOKUP(A21,'Do podmianki'!A:A,'Do podmianki'!B:B,K21)</f>
        <v>30.5</v>
      </c>
      <c r="C21">
        <v>15.25</v>
      </c>
      <c r="I21">
        <f>_xlfn.XLOOKUP(A21,'Do podmianki'!A:A,'Do podmianki'!B:B,Generators!B21)</f>
        <v>30.5</v>
      </c>
      <c r="K21">
        <v>30.5</v>
      </c>
      <c r="L21" s="3">
        <v>172.5</v>
      </c>
      <c r="O21">
        <v>23.70833</v>
      </c>
      <c r="P21">
        <v>4.8141817356689796</v>
      </c>
      <c r="U21">
        <v>40.867118840000003</v>
      </c>
      <c r="V21">
        <v>135.5</v>
      </c>
    </row>
    <row r="22" spans="1:22" x14ac:dyDescent="0.25">
      <c r="A22" t="s">
        <v>215</v>
      </c>
      <c r="B22">
        <f>_xlfn.XLOOKUP(A22,'Do podmianki'!A:A,'Do podmianki'!B:B,K22)</f>
        <v>59.7</v>
      </c>
      <c r="C22">
        <v>-20.100000000000001</v>
      </c>
      <c r="I22">
        <f>_xlfn.XLOOKUP(A22,'Do podmianki'!A:A,'Do podmianki'!B:B,Generators!B22)</f>
        <v>59.7</v>
      </c>
      <c r="K22">
        <v>59.7</v>
      </c>
      <c r="L22">
        <v>-20.100000000000001</v>
      </c>
      <c r="O22">
        <v>69.407287999999895</v>
      </c>
      <c r="P22">
        <v>14.0937509395185</v>
      </c>
      <c r="U22">
        <v>57.434909820000001</v>
      </c>
      <c r="V22">
        <v>-16.39999961853027</v>
      </c>
    </row>
    <row r="23" spans="1:22" x14ac:dyDescent="0.25">
      <c r="A23" t="s">
        <v>216</v>
      </c>
      <c r="B23">
        <f>_xlfn.XLOOKUP(A23,'Do podmianki'!A:A,'Do podmianki'!B:B,K23)</f>
        <v>18.3</v>
      </c>
      <c r="C23">
        <v>-9.15</v>
      </c>
      <c r="I23">
        <f>_xlfn.XLOOKUP(A23,'Do podmianki'!A:A,'Do podmianki'!B:B,Generators!B23)</f>
        <v>18.3</v>
      </c>
      <c r="K23">
        <v>18.3</v>
      </c>
      <c r="L23">
        <v>-17.3</v>
      </c>
      <c r="O23">
        <v>22.2092209999999</v>
      </c>
      <c r="P23">
        <v>4.5097746699845898</v>
      </c>
      <c r="U23">
        <v>19.851573999999999</v>
      </c>
      <c r="V23">
        <v>-4.5</v>
      </c>
    </row>
    <row r="24" spans="1:22" x14ac:dyDescent="0.25">
      <c r="A24" t="s">
        <v>217</v>
      </c>
      <c r="B24">
        <f>_xlfn.XLOOKUP(A24,'Do podmianki'!A:A,'Do podmianki'!B:B,K24)</f>
        <v>44.3</v>
      </c>
      <c r="C24">
        <v>22.15</v>
      </c>
      <c r="I24">
        <f>_xlfn.XLOOKUP(A24,'Do podmianki'!A:A,'Do podmianki'!B:B,Generators!B24)</f>
        <v>44.3</v>
      </c>
      <c r="K24">
        <v>44.3</v>
      </c>
      <c r="L24" s="3">
        <v>230.4</v>
      </c>
      <c r="O24">
        <v>42.277531000000003</v>
      </c>
      <c r="P24">
        <v>8.5848188197725896</v>
      </c>
      <c r="U24">
        <v>52.147441860000001</v>
      </c>
      <c r="V24">
        <v>135.5</v>
      </c>
    </row>
    <row r="25" spans="1:22" x14ac:dyDescent="0.25">
      <c r="A25" t="s">
        <v>218</v>
      </c>
      <c r="B25">
        <f>_xlfn.XLOOKUP(A25,'Do podmianki'!A:A,'Do podmianki'!B:B,K25)</f>
        <v>105.7</v>
      </c>
      <c r="C25">
        <v>-13.1</v>
      </c>
      <c r="I25">
        <f>_xlfn.XLOOKUP(A25,'Do podmianki'!A:A,'Do podmianki'!B:B,Generators!B25)</f>
        <v>105.7</v>
      </c>
      <c r="K25" s="3">
        <v>105.7</v>
      </c>
      <c r="L25">
        <v>-13.1</v>
      </c>
      <c r="O25" s="3">
        <v>132.97928200000001</v>
      </c>
      <c r="P25" s="3">
        <v>19.032194400453701</v>
      </c>
      <c r="U25">
        <v>77.49343872</v>
      </c>
      <c r="V25">
        <v>-11.10000038146973</v>
      </c>
    </row>
    <row r="26" spans="1:22" x14ac:dyDescent="0.25">
      <c r="A26" t="s">
        <v>219</v>
      </c>
      <c r="B26">
        <f>_xlfn.XLOOKUP(A26,'Do podmianki'!A:A,'Do podmianki'!B:B,K26)</f>
        <v>31.8</v>
      </c>
      <c r="C26">
        <v>15.9</v>
      </c>
      <c r="I26">
        <f>_xlfn.XLOOKUP(A26,'Do podmianki'!A:A,'Do podmianki'!B:B,Generators!B26)</f>
        <v>31.8</v>
      </c>
      <c r="K26">
        <v>31.8</v>
      </c>
      <c r="L26" s="3">
        <v>230.4</v>
      </c>
      <c r="O26">
        <v>63.72681</v>
      </c>
      <c r="P26">
        <v>12.9402806850776</v>
      </c>
      <c r="U26">
        <v>48.195030209999999</v>
      </c>
      <c r="V26">
        <v>116.8000030517578</v>
      </c>
    </row>
    <row r="27" spans="1:22" x14ac:dyDescent="0.25">
      <c r="A27" t="s">
        <v>220</v>
      </c>
      <c r="B27">
        <f>_xlfn.XLOOKUP(A27,'Do podmianki'!A:A,'Do podmianki'!B:B,K27)</f>
        <v>29.6</v>
      </c>
      <c r="C27">
        <v>14.8</v>
      </c>
      <c r="I27">
        <f>_xlfn.XLOOKUP(A27,'Do podmianki'!A:A,'Do podmianki'!B:B,Generators!B27)</f>
        <v>29.6</v>
      </c>
      <c r="K27">
        <v>29.6</v>
      </c>
      <c r="L27" s="3">
        <v>130</v>
      </c>
      <c r="O27">
        <v>25.632681000000002</v>
      </c>
      <c r="P27">
        <v>5.2049378723186797</v>
      </c>
      <c r="U27">
        <v>38.10942841</v>
      </c>
      <c r="V27">
        <v>113.5</v>
      </c>
    </row>
    <row r="28" spans="1:22" x14ac:dyDescent="0.25">
      <c r="A28" t="s">
        <v>221</v>
      </c>
      <c r="B28">
        <f>_xlfn.XLOOKUP(A28,'Do podmianki'!A:A,'Do podmianki'!B:B,K28)</f>
        <v>23.1</v>
      </c>
      <c r="C28">
        <v>-11.4</v>
      </c>
      <c r="I28">
        <f>_xlfn.XLOOKUP(A28,'Do podmianki'!A:A,'Do podmianki'!B:B,Generators!B28)</f>
        <v>23.1</v>
      </c>
      <c r="K28">
        <v>23.1</v>
      </c>
      <c r="L28">
        <v>-11.4</v>
      </c>
      <c r="O28">
        <v>24.813199000000001</v>
      </c>
      <c r="P28">
        <v>5.0385349549850096</v>
      </c>
      <c r="U28">
        <v>26.563720700000001</v>
      </c>
      <c r="V28">
        <v>-9.8000001907348633</v>
      </c>
    </row>
    <row r="29" spans="1:22" x14ac:dyDescent="0.25">
      <c r="A29" t="s">
        <v>222</v>
      </c>
      <c r="B29">
        <f>_xlfn.XLOOKUP(A29,'Do podmianki'!A:A,'Do podmianki'!B:B,K29)</f>
        <v>51.5</v>
      </c>
      <c r="C29">
        <v>-17.600000000000001</v>
      </c>
      <c r="I29">
        <f>_xlfn.XLOOKUP(A29,'Do podmianki'!A:A,'Do podmianki'!B:B,Generators!B29)</f>
        <v>51.5</v>
      </c>
      <c r="K29">
        <v>51.5</v>
      </c>
      <c r="L29">
        <v>-17.600000000000001</v>
      </c>
      <c r="O29">
        <v>30.33062</v>
      </c>
      <c r="P29">
        <v>6.1588950733989298</v>
      </c>
      <c r="U29">
        <v>28.72982025</v>
      </c>
      <c r="V29">
        <v>-17</v>
      </c>
    </row>
    <row r="30" spans="1:22" x14ac:dyDescent="0.25">
      <c r="A30" t="s">
        <v>223</v>
      </c>
      <c r="B30">
        <f>_xlfn.XLOOKUP(A30,'Do podmianki'!A:A,'Do podmianki'!B:B,K30)</f>
        <v>32.200000000000003</v>
      </c>
      <c r="C30">
        <v>-16.100000000000001</v>
      </c>
      <c r="I30">
        <f>_xlfn.XLOOKUP(A30,'Do podmianki'!A:A,'Do podmianki'!B:B,Generators!B30)</f>
        <v>32.200000000000003</v>
      </c>
      <c r="K30">
        <v>32.200000000000003</v>
      </c>
      <c r="L30">
        <v>-47.3</v>
      </c>
      <c r="O30">
        <v>31.723419</v>
      </c>
      <c r="P30">
        <v>6.4417149728713197</v>
      </c>
      <c r="U30">
        <v>24.498170850000001</v>
      </c>
      <c r="V30">
        <v>-36.900001525878913</v>
      </c>
    </row>
    <row r="31" spans="1:22" x14ac:dyDescent="0.25">
      <c r="A31" t="s">
        <v>224</v>
      </c>
      <c r="B31">
        <f>_xlfn.XLOOKUP(A31,'Do podmianki'!A:A,'Do podmianki'!B:B,K31)</f>
        <v>3.2</v>
      </c>
      <c r="C31">
        <v>-1.6</v>
      </c>
      <c r="I31">
        <f>_xlfn.XLOOKUP(A31,'Do podmianki'!A:A,'Do podmianki'!B:B,Generators!B31)</f>
        <v>3.2</v>
      </c>
      <c r="K31">
        <v>3.2</v>
      </c>
      <c r="L31" s="3">
        <v>-127.8</v>
      </c>
      <c r="O31">
        <v>3.1493959999999999</v>
      </c>
      <c r="P31">
        <v>0.63951213356609005</v>
      </c>
      <c r="U31">
        <v>3.4236199859999998</v>
      </c>
      <c r="V31">
        <v>-135.5</v>
      </c>
    </row>
    <row r="32" spans="1:22" x14ac:dyDescent="0.25">
      <c r="A32" t="s">
        <v>225</v>
      </c>
      <c r="B32">
        <f>_xlfn.XLOOKUP(A32,'Do podmianki'!A:A,'Do podmianki'!B:B,K32)</f>
        <v>66.900000000000006</v>
      </c>
      <c r="C32">
        <v>33.450000000000003</v>
      </c>
      <c r="I32">
        <f>_xlfn.XLOOKUP(A32,'Do podmianki'!A:A,'Do podmianki'!B:B,Generators!B32)</f>
        <v>66.900000000000006</v>
      </c>
      <c r="K32" s="3">
        <v>66.900000000000006</v>
      </c>
      <c r="L32" s="3">
        <v>117.2</v>
      </c>
      <c r="O32">
        <v>43.179932000000001</v>
      </c>
      <c r="P32">
        <v>13.151299590406399</v>
      </c>
      <c r="U32">
        <v>30.126511000000001</v>
      </c>
      <c r="V32">
        <v>135.5</v>
      </c>
    </row>
    <row r="33" spans="1:22" x14ac:dyDescent="0.25">
      <c r="A33" t="s">
        <v>226</v>
      </c>
      <c r="B33">
        <f>_xlfn.XLOOKUP(A33,'Do podmianki'!A:A,'Do podmianki'!B:B,K33)</f>
        <v>30.9</v>
      </c>
      <c r="C33">
        <v>15.45</v>
      </c>
      <c r="I33">
        <f>_xlfn.XLOOKUP(A33,'Do podmianki'!A:A,'Do podmianki'!B:B,Generators!B33)</f>
        <v>30.9</v>
      </c>
      <c r="K33">
        <v>30.9</v>
      </c>
      <c r="L33">
        <v>116.2</v>
      </c>
      <c r="O33">
        <v>29.687249999999899</v>
      </c>
      <c r="P33">
        <v>6.02825322290684</v>
      </c>
      <c r="U33">
        <v>25.437947000000001</v>
      </c>
      <c r="V33">
        <v>113</v>
      </c>
    </row>
    <row r="34" spans="1:22" x14ac:dyDescent="0.25">
      <c r="A34" t="s">
        <v>227</v>
      </c>
      <c r="B34">
        <f>_xlfn.XLOOKUP(A34,'Do podmianki'!A:A,'Do podmianki'!B:B,K34)</f>
        <v>13.9</v>
      </c>
      <c r="C34">
        <v>-6.95</v>
      </c>
      <c r="I34">
        <f>_xlfn.XLOOKUP(A34,'Do podmianki'!A:A,'Do podmianki'!B:B,Generators!B34)</f>
        <v>13.9</v>
      </c>
      <c r="K34">
        <v>13.9</v>
      </c>
      <c r="L34">
        <v>-9.6999999999999993</v>
      </c>
      <c r="O34">
        <v>15.477270000000001</v>
      </c>
      <c r="P34">
        <v>3.1427937164708499</v>
      </c>
      <c r="U34">
        <v>12.26385975</v>
      </c>
      <c r="V34">
        <v>4</v>
      </c>
    </row>
    <row r="35" spans="1:22" x14ac:dyDescent="0.25">
      <c r="A35" t="s">
        <v>228</v>
      </c>
      <c r="B35">
        <f>_xlfn.XLOOKUP(A35,'Do podmianki'!A:A,'Do podmianki'!B:B,K35)</f>
        <v>53.9</v>
      </c>
      <c r="C35">
        <v>26.95</v>
      </c>
      <c r="I35">
        <f>_xlfn.XLOOKUP(A35,'Do podmianki'!A:A,'Do podmianki'!B:B,Generators!B35)</f>
        <v>53.9</v>
      </c>
      <c r="K35">
        <v>53.9</v>
      </c>
      <c r="L35" s="3">
        <v>73.400000000000006</v>
      </c>
      <c r="O35">
        <v>47.979819999999897</v>
      </c>
      <c r="P35">
        <v>9.7427179866605993</v>
      </c>
      <c r="U35">
        <v>61.250179289999998</v>
      </c>
      <c r="V35">
        <v>120.5</v>
      </c>
    </row>
    <row r="36" spans="1:22" x14ac:dyDescent="0.25">
      <c r="A36" t="s">
        <v>229</v>
      </c>
      <c r="B36">
        <f>_xlfn.XLOOKUP(A36,'Do podmianki'!A:A,'Do podmianki'!B:B,K36)</f>
        <v>6.6</v>
      </c>
      <c r="C36">
        <v>3.3</v>
      </c>
      <c r="I36">
        <f>_xlfn.XLOOKUP(A36,'Do podmianki'!A:A,'Do podmianki'!B:B,Generators!B36)</f>
        <v>6.6</v>
      </c>
      <c r="K36" s="3">
        <v>6.6</v>
      </c>
      <c r="L36">
        <v>86.9</v>
      </c>
      <c r="O36">
        <v>7.1241430000000001</v>
      </c>
      <c r="P36">
        <v>1.44661893574511</v>
      </c>
      <c r="U36">
        <v>6.3269791599999996</v>
      </c>
      <c r="V36">
        <v>78.800003051757813</v>
      </c>
    </row>
    <row r="37" spans="1:22" x14ac:dyDescent="0.25">
      <c r="A37" t="s">
        <v>230</v>
      </c>
      <c r="B37">
        <f>_xlfn.XLOOKUP(A37,'Do podmianki'!A:A,'Do podmianki'!B:B,K37)</f>
        <v>16.8</v>
      </c>
      <c r="C37">
        <v>-8.4</v>
      </c>
      <c r="I37">
        <f>_xlfn.XLOOKUP(A37,'Do podmianki'!A:A,'Do podmianki'!B:B,Generators!B37)</f>
        <v>16.8</v>
      </c>
      <c r="K37">
        <v>16.8</v>
      </c>
      <c r="L37" s="3">
        <v>-95.5</v>
      </c>
      <c r="O37">
        <v>17.944410000000001</v>
      </c>
      <c r="P37">
        <v>3.6437678604674302</v>
      </c>
      <c r="U37">
        <v>15.33603001</v>
      </c>
      <c r="V37">
        <v>-135.5</v>
      </c>
    </row>
    <row r="38" spans="1:22" x14ac:dyDescent="0.25">
      <c r="A38" t="s">
        <v>231</v>
      </c>
      <c r="B38">
        <f>_xlfn.XLOOKUP(A38,'Do podmianki'!A:A,'Do podmianki'!B:B,K38)</f>
        <v>62.3</v>
      </c>
      <c r="C38">
        <v>-31.15</v>
      </c>
      <c r="I38">
        <f>_xlfn.XLOOKUP(A38,'Do podmianki'!A:A,'Do podmianki'!B:B,Generators!B38)</f>
        <v>62.3</v>
      </c>
      <c r="K38" s="3">
        <v>62.3</v>
      </c>
      <c r="L38" s="3">
        <v>-109.6</v>
      </c>
      <c r="O38">
        <v>63.749619000000003</v>
      </c>
      <c r="P38">
        <v>12.944912250068001</v>
      </c>
      <c r="U38">
        <v>74.605667109999999</v>
      </c>
      <c r="V38">
        <v>-135.5</v>
      </c>
    </row>
    <row r="39" spans="1:22" x14ac:dyDescent="0.25">
      <c r="A39" t="s">
        <v>232</v>
      </c>
      <c r="B39">
        <f>_xlfn.XLOOKUP(A39,'Do podmianki'!A:A,'Do podmianki'!B:B,K39)</f>
        <v>11.2</v>
      </c>
      <c r="C39">
        <v>5.6</v>
      </c>
      <c r="I39">
        <f>_xlfn.XLOOKUP(A39,'Do podmianki'!A:A,'Do podmianki'!B:B,Generators!B39)</f>
        <v>11.2</v>
      </c>
      <c r="K39" s="3">
        <v>11.2</v>
      </c>
      <c r="L39" s="3">
        <v>110.1</v>
      </c>
      <c r="O39">
        <v>5.8496329999999999</v>
      </c>
      <c r="P39">
        <v>1.18781864218047</v>
      </c>
      <c r="U39">
        <v>7.6812620000000003</v>
      </c>
      <c r="V39">
        <v>119.6999969482422</v>
      </c>
    </row>
    <row r="40" spans="1:22" x14ac:dyDescent="0.25">
      <c r="A40" t="s">
        <v>233</v>
      </c>
      <c r="B40">
        <f>_xlfn.XLOOKUP(A40,'Do podmianki'!A:A,'Do podmianki'!B:B,K40)</f>
        <v>10.7</v>
      </c>
      <c r="C40">
        <v>-5.35</v>
      </c>
      <c r="I40">
        <f>_xlfn.XLOOKUP(A40,'Do podmianki'!A:A,'Do podmianki'!B:B,Generators!B40)</f>
        <v>10.7</v>
      </c>
      <c r="K40">
        <v>10.7</v>
      </c>
      <c r="L40" s="3">
        <v>-93.5</v>
      </c>
      <c r="O40">
        <v>13.39883</v>
      </c>
      <c r="P40">
        <v>2.7207484738627099</v>
      </c>
      <c r="U40">
        <v>12.700440410000001</v>
      </c>
      <c r="V40">
        <v>-126.6999969482422</v>
      </c>
    </row>
    <row r="41" spans="1:22" x14ac:dyDescent="0.25">
      <c r="A41" t="s">
        <v>234</v>
      </c>
      <c r="B41">
        <v>100</v>
      </c>
      <c r="C41">
        <v>50</v>
      </c>
      <c r="I41">
        <f>_xlfn.XLOOKUP(A41,'Do podmianki'!A:A,'Do podmianki'!B:B,Generators!B41)</f>
        <v>100</v>
      </c>
      <c r="K41" s="3">
        <v>118.8</v>
      </c>
      <c r="L41" s="3">
        <v>146.9</v>
      </c>
      <c r="O41" s="3">
        <v>157.083405</v>
      </c>
      <c r="P41" s="3">
        <v>31.897145827128799</v>
      </c>
      <c r="U41">
        <v>161.091095</v>
      </c>
      <c r="V41">
        <v>135.5</v>
      </c>
    </row>
    <row r="42" spans="1:22" x14ac:dyDescent="0.25">
      <c r="A42" t="s">
        <v>235</v>
      </c>
      <c r="B42">
        <f>_xlfn.XLOOKUP(A42,'Do podmianki'!A:A,'Do podmianki'!B:B,K42)</f>
        <v>55.7</v>
      </c>
      <c r="C42">
        <v>-27.85</v>
      </c>
      <c r="I42">
        <f>_xlfn.XLOOKUP(A42,'Do podmianki'!A:A,'Do podmianki'!B:B,Generators!B42)</f>
        <v>55.7</v>
      </c>
      <c r="K42">
        <v>55.7</v>
      </c>
      <c r="L42">
        <v>-73.900000000000006</v>
      </c>
      <c r="O42">
        <v>50.8502879999999</v>
      </c>
      <c r="P42">
        <v>10.3255913741333</v>
      </c>
      <c r="U42">
        <v>40.939590449999997</v>
      </c>
      <c r="V42">
        <v>-78.5</v>
      </c>
    </row>
    <row r="43" spans="1:22" x14ac:dyDescent="0.25">
      <c r="A43" t="s">
        <v>236</v>
      </c>
      <c r="B43">
        <f>_xlfn.XLOOKUP(A43,'Do podmianki'!A:A,'Do podmianki'!B:B,K43)</f>
        <v>43.2</v>
      </c>
      <c r="C43">
        <v>21.6</v>
      </c>
      <c r="I43">
        <f>_xlfn.XLOOKUP(A43,'Do podmianki'!A:A,'Do podmianki'!B:B,Generators!B43)</f>
        <v>43.2</v>
      </c>
      <c r="K43">
        <v>43.2</v>
      </c>
      <c r="L43" s="3">
        <v>121.2</v>
      </c>
      <c r="O43">
        <v>40.743568000000003</v>
      </c>
      <c r="P43">
        <v>8.2733343475304704</v>
      </c>
      <c r="U43">
        <v>40.68016815</v>
      </c>
      <c r="V43">
        <v>120.1999969482422</v>
      </c>
    </row>
    <row r="44" spans="1:22" x14ac:dyDescent="0.25">
      <c r="A44" t="s">
        <v>237</v>
      </c>
      <c r="B44">
        <v>70</v>
      </c>
      <c r="C44">
        <v>-35.4</v>
      </c>
      <c r="I44">
        <f>_xlfn.XLOOKUP(A44,'Do podmianki'!A:A,'Do podmianki'!B:B,Generators!B44)</f>
        <v>70</v>
      </c>
      <c r="K44">
        <v>70.8</v>
      </c>
      <c r="L44" s="3">
        <v>-96.9</v>
      </c>
      <c r="O44">
        <v>88.186836</v>
      </c>
      <c r="P44">
        <v>17.907100803710499</v>
      </c>
      <c r="U44">
        <v>68.832093</v>
      </c>
      <c r="V44">
        <v>-113.6999969482422</v>
      </c>
    </row>
    <row r="45" spans="1:22" x14ac:dyDescent="0.25">
      <c r="A45" t="s">
        <v>238</v>
      </c>
      <c r="B45">
        <f>_xlfn.XLOOKUP(A45,'Do podmianki'!A:A,'Do podmianki'!B:B,K45)</f>
        <v>47.8</v>
      </c>
      <c r="C45">
        <v>-23.9</v>
      </c>
      <c r="I45">
        <f>_xlfn.XLOOKUP(A45,'Do podmianki'!A:A,'Do podmianki'!B:B,Generators!B45)</f>
        <v>47.8</v>
      </c>
      <c r="K45">
        <v>47.8</v>
      </c>
      <c r="L45" s="3">
        <v>-98.5</v>
      </c>
      <c r="O45" s="3">
        <v>-484.22674999999998</v>
      </c>
      <c r="P45" s="3">
        <v>-98.326435298156696</v>
      </c>
      <c r="U45">
        <v>7.4983229639999998</v>
      </c>
      <c r="V45">
        <v>-135.5</v>
      </c>
    </row>
    <row r="46" spans="1:22" x14ac:dyDescent="0.25">
      <c r="A46" t="s">
        <v>239</v>
      </c>
      <c r="B46">
        <f>_xlfn.XLOOKUP(A46,'Do podmianki'!A:A,'Do podmianki'!B:B,K46)</f>
        <v>46.9</v>
      </c>
      <c r="C46">
        <v>1.1000000000000001</v>
      </c>
      <c r="I46">
        <f>_xlfn.XLOOKUP(A46,'Do podmianki'!A:A,'Do podmianki'!B:B,Generators!B46)</f>
        <v>46.9</v>
      </c>
      <c r="K46">
        <v>46.9</v>
      </c>
      <c r="L46">
        <v>1.1000000000000001</v>
      </c>
      <c r="O46">
        <v>38.784821000000001</v>
      </c>
      <c r="P46">
        <v>7.87559380518959</v>
      </c>
      <c r="U46">
        <v>38.39289093</v>
      </c>
      <c r="V46">
        <v>2.0999999046325679</v>
      </c>
    </row>
    <row r="47" spans="1:22" x14ac:dyDescent="0.25">
      <c r="A47" t="s">
        <v>240</v>
      </c>
      <c r="B47">
        <v>100</v>
      </c>
      <c r="C47">
        <v>8.5</v>
      </c>
      <c r="I47">
        <f>_xlfn.XLOOKUP(A47,'Do podmianki'!A:A,'Do podmianki'!B:B,Generators!B47)</f>
        <v>100</v>
      </c>
      <c r="K47" s="3">
        <v>142.1</v>
      </c>
      <c r="L47">
        <v>8.5</v>
      </c>
      <c r="O47" s="3">
        <v>132.50559999999999</v>
      </c>
      <c r="P47" s="3">
        <v>26.906409662504998</v>
      </c>
      <c r="U47">
        <v>136.37049870000001</v>
      </c>
      <c r="V47">
        <v>9.6999998092651367</v>
      </c>
    </row>
    <row r="48" spans="1:22" x14ac:dyDescent="0.25">
      <c r="A48" t="s">
        <v>241</v>
      </c>
      <c r="B48">
        <v>70</v>
      </c>
      <c r="C48">
        <v>-71.75</v>
      </c>
      <c r="I48">
        <f>_xlfn.XLOOKUP(A48,'Do podmianki'!A:A,'Do podmianki'!B:B,Generators!B48)</f>
        <v>70</v>
      </c>
      <c r="K48">
        <v>143.5</v>
      </c>
      <c r="L48" s="3">
        <v>-98.3</v>
      </c>
      <c r="O48" s="3">
        <v>168.813603</v>
      </c>
      <c r="P48" s="3">
        <v>33.169009993670599</v>
      </c>
      <c r="U48">
        <v>93.172719000000001</v>
      </c>
      <c r="V48">
        <v>-135.5</v>
      </c>
    </row>
    <row r="49" spans="1:22" x14ac:dyDescent="0.25">
      <c r="A49" t="s">
        <v>242</v>
      </c>
      <c r="B49">
        <v>90</v>
      </c>
      <c r="C49">
        <v>-11.15</v>
      </c>
      <c r="I49">
        <f>_xlfn.XLOOKUP(A49,'Do podmianki'!A:A,'Do podmianki'!B:B,Generators!B49)</f>
        <v>90</v>
      </c>
      <c r="K49">
        <v>22.3</v>
      </c>
      <c r="L49" s="3">
        <v>-100.6</v>
      </c>
      <c r="O49">
        <v>17.334520000000001</v>
      </c>
      <c r="P49">
        <v>3.5199244139333499</v>
      </c>
      <c r="U49">
        <v>9.2773690000000002</v>
      </c>
      <c r="V49">
        <v>-135.5</v>
      </c>
    </row>
    <row r="50" spans="1:22" x14ac:dyDescent="0.25">
      <c r="A50" t="s">
        <v>243</v>
      </c>
      <c r="B50">
        <f>_xlfn.XLOOKUP(A50,'Do podmianki'!A:A,'Do podmianki'!B:B,K50)</f>
        <v>26.8</v>
      </c>
      <c r="C50">
        <v>13.4</v>
      </c>
      <c r="I50">
        <f>_xlfn.XLOOKUP(A50,'Do podmianki'!A:A,'Do podmianki'!B:B,Generators!B50)</f>
        <v>26.8</v>
      </c>
      <c r="K50">
        <v>26.8</v>
      </c>
      <c r="L50">
        <v>128.1</v>
      </c>
      <c r="O50">
        <v>22.679189999999899</v>
      </c>
      <c r="P50">
        <v>4.6052059456640997</v>
      </c>
      <c r="U50">
        <v>22.744516999999998</v>
      </c>
      <c r="V50">
        <v>121</v>
      </c>
    </row>
    <row r="51" spans="1:22" x14ac:dyDescent="0.25">
      <c r="A51" t="s">
        <v>244</v>
      </c>
      <c r="B51">
        <v>70</v>
      </c>
      <c r="C51">
        <v>-18.75</v>
      </c>
      <c r="I51">
        <f>_xlfn.XLOOKUP(A51,'Do podmianki'!A:A,'Do podmianki'!B:B,Generators!B51)</f>
        <v>70</v>
      </c>
      <c r="K51">
        <v>37.5</v>
      </c>
      <c r="L51">
        <v>-79.900000000000006</v>
      </c>
      <c r="O51">
        <v>51.239761000000001</v>
      </c>
      <c r="P51">
        <v>10.4046772398664</v>
      </c>
      <c r="U51">
        <v>36.710448999999997</v>
      </c>
      <c r="V51">
        <v>-8</v>
      </c>
    </row>
    <row r="52" spans="1:22" x14ac:dyDescent="0.25">
      <c r="A52" t="s">
        <v>724</v>
      </c>
      <c r="B52">
        <v>90</v>
      </c>
      <c r="C52">
        <v>-11.15</v>
      </c>
    </row>
    <row r="53" spans="1:22" x14ac:dyDescent="0.25">
      <c r="A53" t="s">
        <v>245</v>
      </c>
      <c r="B53">
        <f>_xlfn.XLOOKUP(A53,'Do podmianki'!A:A,'Do podmianki'!B:B,K53)</f>
        <v>53.3</v>
      </c>
      <c r="C53">
        <v>-16.899999999999999</v>
      </c>
      <c r="I53">
        <f>_xlfn.XLOOKUP(A53,'Do podmianki'!A:A,'Do podmianki'!B:B,Generators!B53)</f>
        <v>53.3</v>
      </c>
      <c r="K53">
        <v>53.3</v>
      </c>
      <c r="L53">
        <v>-16.899999999999999</v>
      </c>
      <c r="O53">
        <v>64.999779000000004</v>
      </c>
      <c r="P53">
        <v>13.198768065246201</v>
      </c>
      <c r="U53">
        <v>52.172730999999999</v>
      </c>
      <c r="V53">
        <v>-3.0999999046325679</v>
      </c>
    </row>
    <row r="54" spans="1:22" x14ac:dyDescent="0.25">
      <c r="A54" t="s">
        <v>246</v>
      </c>
      <c r="B54">
        <f>_xlfn.XLOOKUP(A54,'Do podmianki'!A:A,'Do podmianki'!B:B,K54)</f>
        <v>62</v>
      </c>
      <c r="C54">
        <v>-4.5999999999999996</v>
      </c>
      <c r="I54">
        <f>_xlfn.XLOOKUP(A54,'Do podmianki'!A:A,'Do podmianki'!B:B,Generators!B54)</f>
        <v>62</v>
      </c>
      <c r="K54">
        <v>62</v>
      </c>
      <c r="L54">
        <v>-4.5999999999999996</v>
      </c>
      <c r="O54">
        <v>47.7209819999999</v>
      </c>
      <c r="P54">
        <v>9.6901586890594196</v>
      </c>
      <c r="U54">
        <v>41.598526999999997</v>
      </c>
      <c r="V54">
        <v>-2</v>
      </c>
    </row>
    <row r="55" spans="1:22" x14ac:dyDescent="0.25">
      <c r="A55" t="s">
        <v>247</v>
      </c>
      <c r="B55">
        <f>_xlfn.XLOOKUP(A55,'Do podmianki'!A:A,'Do podmianki'!B:B,K55)</f>
        <v>18.899999999999999</v>
      </c>
      <c r="C55">
        <v>-2.7</v>
      </c>
      <c r="I55">
        <f>_xlfn.XLOOKUP(A55,'Do podmianki'!A:A,'Do podmianki'!B:B,Generators!B55)</f>
        <v>18.899999999999999</v>
      </c>
      <c r="K55">
        <v>18.899999999999999</v>
      </c>
      <c r="L55" s="3">
        <v>-2.7</v>
      </c>
      <c r="O55">
        <v>25.353539999999899</v>
      </c>
      <c r="P55">
        <v>5.1482558747306397</v>
      </c>
      <c r="U55">
        <v>14.963498</v>
      </c>
      <c r="V55">
        <v>135.5</v>
      </c>
    </row>
    <row r="56" spans="1:22" x14ac:dyDescent="0.25">
      <c r="A56" t="s">
        <v>248</v>
      </c>
      <c r="B56">
        <f>_xlfn.XLOOKUP(A56,'Do podmianki'!A:A,'Do podmianki'!B:B,K56)</f>
        <v>8</v>
      </c>
      <c r="C56">
        <v>4</v>
      </c>
      <c r="I56">
        <f>_xlfn.XLOOKUP(A56,'Do podmianki'!A:A,'Do podmianki'!B:B,Generators!B56)</f>
        <v>8</v>
      </c>
      <c r="K56" s="3">
        <v>8</v>
      </c>
      <c r="L56">
        <v>169.5</v>
      </c>
      <c r="O56">
        <v>7.0505940000000002</v>
      </c>
      <c r="P56">
        <v>1.43168417431414</v>
      </c>
      <c r="U56">
        <v>4.3892930000000003</v>
      </c>
      <c r="V56">
        <v>-40.599998474121087</v>
      </c>
    </row>
    <row r="57" spans="1:22" x14ac:dyDescent="0.25">
      <c r="A57" t="s">
        <v>249</v>
      </c>
      <c r="B57">
        <v>70</v>
      </c>
      <c r="C57">
        <v>-25.4</v>
      </c>
      <c r="I57">
        <f>_xlfn.XLOOKUP(A57,'Do podmianki'!A:A,'Do podmianki'!B:B,Generators!B57)</f>
        <v>70</v>
      </c>
      <c r="K57">
        <v>229.8</v>
      </c>
      <c r="L57">
        <v>-25.4</v>
      </c>
      <c r="O57" s="3">
        <v>310.66879299999999</v>
      </c>
      <c r="P57" s="3">
        <v>0</v>
      </c>
      <c r="U57">
        <v>207.99262899999999</v>
      </c>
      <c r="V57">
        <v>-7.4000000953674316</v>
      </c>
    </row>
    <row r="58" spans="1:22" x14ac:dyDescent="0.25">
      <c r="A58" t="s">
        <v>250</v>
      </c>
      <c r="B58">
        <f>_xlfn.XLOOKUP(A58,'Do podmianki'!A:A,'Do podmianki'!B:B,K58)</f>
        <v>33.799999999999997</v>
      </c>
      <c r="C58">
        <v>-16.899999999999999</v>
      </c>
      <c r="I58">
        <f>_xlfn.XLOOKUP(A58,'Do podmianki'!A:A,'Do podmianki'!B:B,Generators!B58)</f>
        <v>33.799999999999997</v>
      </c>
      <c r="K58">
        <v>33.799999999999997</v>
      </c>
      <c r="L58">
        <v>-30.5</v>
      </c>
      <c r="O58">
        <v>40.366821000000002</v>
      </c>
      <c r="P58">
        <v>8.19683260631259</v>
      </c>
      <c r="U58">
        <v>41.199497999999998</v>
      </c>
      <c r="V58">
        <v>40.599998474121087</v>
      </c>
    </row>
    <row r="59" spans="1:22" x14ac:dyDescent="0.25">
      <c r="A59" t="s">
        <v>251</v>
      </c>
      <c r="B59">
        <v>90</v>
      </c>
      <c r="C59">
        <v>-8.6</v>
      </c>
      <c r="I59">
        <f>_xlfn.XLOOKUP(A59,'Do podmianki'!A:A,'Do podmianki'!B:B,Generators!B59)</f>
        <v>90</v>
      </c>
      <c r="K59">
        <v>28.3</v>
      </c>
      <c r="L59">
        <v>-8.6</v>
      </c>
      <c r="O59">
        <v>33.0662799999999</v>
      </c>
      <c r="P59">
        <v>6.7143945289489499</v>
      </c>
      <c r="U59">
        <v>37.807774000000002</v>
      </c>
      <c r="V59">
        <v>39.299999237060547</v>
      </c>
    </row>
    <row r="60" spans="1:22" x14ac:dyDescent="0.25">
      <c r="A60" t="s">
        <v>252</v>
      </c>
      <c r="B60">
        <f>_xlfn.XLOOKUP(A60,'Do podmianki'!A:A,'Do podmianki'!B:B,K60)</f>
        <v>80</v>
      </c>
      <c r="C60">
        <v>11.4</v>
      </c>
      <c r="I60">
        <v>102.4</v>
      </c>
      <c r="K60">
        <v>80</v>
      </c>
      <c r="L60">
        <v>11.4</v>
      </c>
      <c r="O60">
        <v>81.202301000000006</v>
      </c>
      <c r="P60">
        <v>0</v>
      </c>
      <c r="U60">
        <v>22.744516999999998</v>
      </c>
      <c r="V60">
        <v>53.5</v>
      </c>
    </row>
    <row r="61" spans="1:22" x14ac:dyDescent="0.25">
      <c r="A61" t="s">
        <v>725</v>
      </c>
      <c r="B61">
        <v>70</v>
      </c>
      <c r="C61">
        <v>11.4</v>
      </c>
    </row>
    <row r="62" spans="1:22" x14ac:dyDescent="0.25">
      <c r="A62" t="s">
        <v>253</v>
      </c>
      <c r="B62">
        <f>_xlfn.XLOOKUP(A62,'Do podmianki'!A:A,'Do podmianki'!B:B,K62)</f>
        <v>63.5</v>
      </c>
      <c r="C62">
        <v>31.75</v>
      </c>
      <c r="I62">
        <f>_xlfn.XLOOKUP(A62,'Do podmianki'!A:A,'Do podmianki'!B:B,Generators!B62)</f>
        <v>63.5</v>
      </c>
      <c r="K62">
        <v>63.5</v>
      </c>
      <c r="L62" s="3">
        <v>64.5</v>
      </c>
      <c r="O62">
        <v>82.438659999999899</v>
      </c>
      <c r="P62">
        <v>25.095948496838499</v>
      </c>
      <c r="U62">
        <v>51.474432999999998</v>
      </c>
      <c r="V62">
        <v>-135.5</v>
      </c>
    </row>
    <row r="63" spans="1:22" x14ac:dyDescent="0.25">
      <c r="A63" t="s">
        <v>254</v>
      </c>
      <c r="B63">
        <v>90</v>
      </c>
      <c r="C63">
        <v>-20.3</v>
      </c>
      <c r="I63">
        <f>_xlfn.XLOOKUP(A63,'Do podmianki'!A:A,'Do podmianki'!B:B,Generators!B63)</f>
        <v>90</v>
      </c>
      <c r="K63">
        <v>40.6</v>
      </c>
      <c r="L63">
        <v>-100.2</v>
      </c>
      <c r="O63">
        <v>35.697040999999899</v>
      </c>
      <c r="P63">
        <v>7.24859333405713</v>
      </c>
      <c r="U63">
        <v>28.231133</v>
      </c>
      <c r="V63">
        <v>25.79999923706055</v>
      </c>
    </row>
    <row r="64" spans="1:22" x14ac:dyDescent="0.25">
      <c r="A64" t="s">
        <v>255</v>
      </c>
      <c r="B64">
        <f>_xlfn.XLOOKUP(A64,'Do podmianki'!A:A,'Do podmianki'!B:B,K64)</f>
        <v>31.7</v>
      </c>
      <c r="C64">
        <v>-6.3</v>
      </c>
      <c r="I64">
        <f>_xlfn.XLOOKUP(A64,'Do podmianki'!A:A,'Do podmianki'!B:B,Generators!B64)</f>
        <v>31.7</v>
      </c>
      <c r="K64">
        <v>31.7</v>
      </c>
      <c r="L64">
        <v>-6.3</v>
      </c>
      <c r="O64">
        <v>40.4652099999999</v>
      </c>
      <c r="P64">
        <v>0.28990616395633101</v>
      </c>
      <c r="U64">
        <v>38.206798999999997</v>
      </c>
      <c r="V64">
        <v>0.69999998807907104</v>
      </c>
    </row>
    <row r="65" spans="1:22" x14ac:dyDescent="0.25">
      <c r="A65" t="s">
        <v>256</v>
      </c>
      <c r="B65">
        <f>_xlfn.XLOOKUP(A65,'Do podmianki'!A:A,'Do podmianki'!B:B,K65)</f>
        <v>77</v>
      </c>
      <c r="C65">
        <v>-10.4</v>
      </c>
      <c r="I65">
        <f>_xlfn.XLOOKUP(A65,'Do podmianki'!A:A,'Do podmianki'!B:B,Generators!B65)</f>
        <v>77</v>
      </c>
      <c r="K65">
        <v>77</v>
      </c>
      <c r="L65">
        <v>-10.4</v>
      </c>
      <c r="O65">
        <v>67.663071000000002</v>
      </c>
      <c r="P65">
        <v>13.7395725716435</v>
      </c>
      <c r="U65">
        <v>64.343042999999994</v>
      </c>
      <c r="V65">
        <v>-6.8000001907348633</v>
      </c>
    </row>
    <row r="66" spans="1:22" x14ac:dyDescent="0.25">
      <c r="A66" t="s">
        <v>257</v>
      </c>
      <c r="B66">
        <f>_xlfn.XLOOKUP(A66,'Do podmianki'!A:A,'Do podmianki'!B:B,K66)</f>
        <v>96.7</v>
      </c>
      <c r="C66">
        <v>-20.100000000000001</v>
      </c>
      <c r="I66">
        <f>_xlfn.XLOOKUP(A66,'Do podmianki'!A:A,'Do podmianki'!B:B,Generators!B66)</f>
        <v>96.7</v>
      </c>
      <c r="K66">
        <v>96.7</v>
      </c>
      <c r="L66" s="3">
        <v>-20.100000000000001</v>
      </c>
      <c r="O66" s="3">
        <v>107.08049800000001</v>
      </c>
      <c r="P66" s="3">
        <v>12.1133488514559</v>
      </c>
      <c r="U66">
        <v>80.802892</v>
      </c>
      <c r="V66">
        <v>-135.5</v>
      </c>
    </row>
    <row r="67" spans="1:22" x14ac:dyDescent="0.25">
      <c r="A67" t="s">
        <v>258</v>
      </c>
      <c r="B67">
        <f>_xlfn.XLOOKUP(A67,'Do podmianki'!A:A,'Do podmianki'!B:B,K67)</f>
        <v>41.5</v>
      </c>
      <c r="C67">
        <v>-20.75</v>
      </c>
      <c r="I67">
        <f>_xlfn.XLOOKUP(A67,'Do podmianki'!A:A,'Do podmianki'!B:B,Generators!B67)</f>
        <v>41.5</v>
      </c>
      <c r="K67">
        <v>41.5</v>
      </c>
      <c r="L67">
        <v>-48.8</v>
      </c>
      <c r="O67">
        <v>31.7334999999999</v>
      </c>
      <c r="P67">
        <v>6.4437620072291697</v>
      </c>
      <c r="U67">
        <v>27.73235</v>
      </c>
      <c r="V67">
        <v>7.9999999680335776E-11</v>
      </c>
    </row>
    <row r="68" spans="1:22" x14ac:dyDescent="0.25">
      <c r="A68" t="s">
        <v>259</v>
      </c>
      <c r="B68">
        <f>_xlfn.XLOOKUP(A68,'Do podmianki'!A:A,'Do podmianki'!B:B,K68)</f>
        <v>1.2</v>
      </c>
      <c r="C68">
        <v>0.4</v>
      </c>
      <c r="I68">
        <f>_xlfn.XLOOKUP(A68,'Do podmianki'!A:A,'Do podmianki'!B:B,Generators!B68)</f>
        <v>1.2</v>
      </c>
      <c r="K68">
        <v>1.2</v>
      </c>
      <c r="L68">
        <v>0.4</v>
      </c>
      <c r="O68">
        <v>0.91190199999999999</v>
      </c>
      <c r="P68">
        <v>0.18516959874947</v>
      </c>
      <c r="U68">
        <v>0.59853999999999996</v>
      </c>
      <c r="V68">
        <v>0</v>
      </c>
    </row>
  </sheetData>
  <mergeCells count="2">
    <mergeCell ref="O1:P1"/>
    <mergeCell ref="U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L108"/>
  <sheetViews>
    <sheetView workbookViewId="0">
      <selection activeCell="B3" sqref="B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K1" t="s">
        <v>537</v>
      </c>
    </row>
    <row r="2" spans="1:12" x14ac:dyDescent="0.25">
      <c r="A2" t="s">
        <v>260</v>
      </c>
      <c r="B2">
        <f>_xlfn.XLOOKUP(A2,'Do podmianki'!A:A,'Do podmianki'!B:B,K2)</f>
        <v>0</v>
      </c>
      <c r="C2">
        <v>0</v>
      </c>
      <c r="K2" s="3">
        <v>1E-10</v>
      </c>
      <c r="L2">
        <v>0</v>
      </c>
    </row>
    <row r="3" spans="1:12" x14ac:dyDescent="0.25">
      <c r="A3" t="s">
        <v>261</v>
      </c>
      <c r="B3">
        <f>_xlfn.XLOOKUP(A3,'Do podmianki'!A:A,'Do podmianki'!B:B,K3)</f>
        <v>0</v>
      </c>
      <c r="C3">
        <v>0</v>
      </c>
      <c r="K3" s="3">
        <v>1E-10</v>
      </c>
      <c r="L3">
        <v>0</v>
      </c>
    </row>
    <row r="4" spans="1:12" x14ac:dyDescent="0.25">
      <c r="A4" t="s">
        <v>262</v>
      </c>
      <c r="B4">
        <f>_xlfn.XLOOKUP(A4,'Do podmianki'!A:A,'Do podmianki'!B:B,K4)</f>
        <v>0</v>
      </c>
      <c r="C4">
        <v>0</v>
      </c>
      <c r="K4" s="3">
        <v>1E-10</v>
      </c>
      <c r="L4">
        <v>0</v>
      </c>
    </row>
    <row r="5" spans="1:12" x14ac:dyDescent="0.25">
      <c r="A5" t="s">
        <v>263</v>
      </c>
      <c r="B5">
        <f>_xlfn.XLOOKUP(A5,'Do podmianki'!A:A,'Do podmianki'!B:B,K5)</f>
        <v>0</v>
      </c>
      <c r="C5">
        <v>0</v>
      </c>
      <c r="K5" s="3">
        <v>1E-10</v>
      </c>
      <c r="L5">
        <v>0</v>
      </c>
    </row>
    <row r="6" spans="1:12" x14ac:dyDescent="0.25">
      <c r="A6" t="s">
        <v>264</v>
      </c>
      <c r="B6">
        <f>_xlfn.XLOOKUP(A6,'Do podmianki'!A:A,'Do podmianki'!B:B,K6)</f>
        <v>0</v>
      </c>
      <c r="C6">
        <v>0</v>
      </c>
      <c r="K6" s="3">
        <v>1E-10</v>
      </c>
      <c r="L6">
        <v>0</v>
      </c>
    </row>
    <row r="7" spans="1:12" x14ac:dyDescent="0.25">
      <c r="A7" t="s">
        <v>265</v>
      </c>
      <c r="B7">
        <f>_xlfn.XLOOKUP(A7,'Do podmianki'!A:A,'Do podmianki'!B:B,K7)</f>
        <v>0</v>
      </c>
      <c r="C7">
        <v>0</v>
      </c>
      <c r="K7" s="3">
        <v>1E-10</v>
      </c>
      <c r="L7">
        <v>0</v>
      </c>
    </row>
    <row r="8" spans="1:12" x14ac:dyDescent="0.25">
      <c r="A8" t="s">
        <v>266</v>
      </c>
      <c r="B8">
        <f>_xlfn.XLOOKUP(A8,'Do podmianki'!A:A,'Do podmianki'!B:B,K8)</f>
        <v>0</v>
      </c>
      <c r="C8">
        <v>0</v>
      </c>
      <c r="K8" s="3">
        <v>1E-10</v>
      </c>
      <c r="L8">
        <v>0</v>
      </c>
    </row>
    <row r="9" spans="1:12" x14ac:dyDescent="0.25">
      <c r="A9" t="s">
        <v>267</v>
      </c>
      <c r="B9">
        <f>_xlfn.XLOOKUP(A9,'Do podmianki'!A:A,'Do podmianki'!B:B,K9)</f>
        <v>0</v>
      </c>
      <c r="C9">
        <v>0</v>
      </c>
      <c r="K9" s="3">
        <v>1E-10</v>
      </c>
      <c r="L9">
        <v>0</v>
      </c>
    </row>
    <row r="10" spans="1:12" x14ac:dyDescent="0.25">
      <c r="A10" t="s">
        <v>268</v>
      </c>
      <c r="B10">
        <f>_xlfn.XLOOKUP(A10,'Do podmianki'!A:A,'Do podmianki'!B:B,K10)</f>
        <v>0</v>
      </c>
      <c r="C10">
        <v>0</v>
      </c>
      <c r="K10" s="3">
        <v>1E-10</v>
      </c>
      <c r="L10">
        <v>0</v>
      </c>
    </row>
    <row r="11" spans="1:12" x14ac:dyDescent="0.25">
      <c r="A11" t="s">
        <v>269</v>
      </c>
      <c r="B11">
        <f>_xlfn.XLOOKUP(A11,'Do podmianki'!A:A,'Do podmianki'!B:B,K11)</f>
        <v>0</v>
      </c>
      <c r="C11">
        <v>0</v>
      </c>
      <c r="K11" s="3">
        <v>1E-10</v>
      </c>
      <c r="L11">
        <v>0</v>
      </c>
    </row>
    <row r="12" spans="1:12" x14ac:dyDescent="0.25">
      <c r="A12" t="s">
        <v>270</v>
      </c>
      <c r="B12">
        <f>_xlfn.XLOOKUP(A12,'Do podmianki'!A:A,'Do podmianki'!B:B,K12)</f>
        <v>0</v>
      </c>
      <c r="C12">
        <v>0</v>
      </c>
      <c r="K12" s="3">
        <v>1E-10</v>
      </c>
      <c r="L12">
        <v>0</v>
      </c>
    </row>
    <row r="13" spans="1:12" x14ac:dyDescent="0.25">
      <c r="A13" t="s">
        <v>271</v>
      </c>
      <c r="B13">
        <f>_xlfn.XLOOKUP(A13,'Do podmianki'!A:A,'Do podmianki'!B:B,K13)</f>
        <v>0</v>
      </c>
      <c r="C13">
        <v>0</v>
      </c>
      <c r="K13" s="3">
        <v>1E-10</v>
      </c>
      <c r="L13">
        <v>0</v>
      </c>
    </row>
    <row r="14" spans="1:12" x14ac:dyDescent="0.25">
      <c r="A14" t="s">
        <v>272</v>
      </c>
      <c r="B14">
        <f>_xlfn.XLOOKUP(A14,'Do podmianki'!A:A,'Do podmianki'!B:B,K14)</f>
        <v>0</v>
      </c>
      <c r="C14">
        <v>0</v>
      </c>
      <c r="K14" s="3">
        <v>1E-10</v>
      </c>
      <c r="L14">
        <v>0</v>
      </c>
    </row>
    <row r="15" spans="1:12" x14ac:dyDescent="0.25">
      <c r="A15" t="s">
        <v>273</v>
      </c>
      <c r="B15">
        <f>_xlfn.XLOOKUP(A15,'Do podmianki'!A:A,'Do podmianki'!B:B,K15)</f>
        <v>0</v>
      </c>
      <c r="C15">
        <v>0</v>
      </c>
      <c r="K15" s="3">
        <v>1E-10</v>
      </c>
      <c r="L15">
        <v>0</v>
      </c>
    </row>
    <row r="16" spans="1:12" x14ac:dyDescent="0.25">
      <c r="A16" t="s">
        <v>274</v>
      </c>
      <c r="B16">
        <f>_xlfn.XLOOKUP(A16,'Do podmianki'!A:A,'Do podmianki'!B:B,K16)</f>
        <v>0</v>
      </c>
      <c r="C16">
        <v>0</v>
      </c>
      <c r="K16" s="3">
        <v>1E-10</v>
      </c>
      <c r="L16">
        <v>0</v>
      </c>
    </row>
    <row r="17" spans="1:12" x14ac:dyDescent="0.25">
      <c r="A17" t="s">
        <v>275</v>
      </c>
      <c r="B17">
        <f>_xlfn.XLOOKUP(A17,'Do podmianki'!A:A,'Do podmianki'!B:B,K17)</f>
        <v>0</v>
      </c>
      <c r="C17">
        <v>0</v>
      </c>
      <c r="K17" s="3">
        <v>1E-10</v>
      </c>
      <c r="L17">
        <v>0</v>
      </c>
    </row>
    <row r="18" spans="1:12" x14ac:dyDescent="0.25">
      <c r="A18" t="s">
        <v>276</v>
      </c>
      <c r="B18">
        <f>_xlfn.XLOOKUP(A18,'Do podmianki'!A:A,'Do podmianki'!B:B,K18)</f>
        <v>0</v>
      </c>
      <c r="C18">
        <v>0</v>
      </c>
      <c r="K18" s="3">
        <v>1E-10</v>
      </c>
      <c r="L18">
        <v>0</v>
      </c>
    </row>
    <row r="19" spans="1:12" x14ac:dyDescent="0.25">
      <c r="A19" t="s">
        <v>277</v>
      </c>
      <c r="B19">
        <f>_xlfn.XLOOKUP(A19,'Do podmianki'!A:A,'Do podmianki'!B:B,K19)</f>
        <v>0</v>
      </c>
      <c r="C19">
        <v>0</v>
      </c>
      <c r="K19" s="3">
        <v>1E-10</v>
      </c>
      <c r="L19">
        <v>0</v>
      </c>
    </row>
    <row r="20" spans="1:12" x14ac:dyDescent="0.25">
      <c r="A20" t="s">
        <v>278</v>
      </c>
      <c r="B20">
        <f>_xlfn.XLOOKUP(A20,'Do podmianki'!A:A,'Do podmianki'!B:B,K20)</f>
        <v>0</v>
      </c>
      <c r="C20">
        <v>0</v>
      </c>
      <c r="K20" s="3">
        <v>1E-10</v>
      </c>
      <c r="L20">
        <v>0</v>
      </c>
    </row>
    <row r="21" spans="1:12" x14ac:dyDescent="0.25">
      <c r="A21" t="s">
        <v>279</v>
      </c>
      <c r="B21">
        <f>_xlfn.XLOOKUP(A21,'Do podmianki'!A:A,'Do podmianki'!B:B,K21)</f>
        <v>0</v>
      </c>
      <c r="C21">
        <v>0</v>
      </c>
      <c r="K21" s="3">
        <v>1E-10</v>
      </c>
      <c r="L21">
        <v>0</v>
      </c>
    </row>
    <row r="22" spans="1:12" x14ac:dyDescent="0.25">
      <c r="A22" t="s">
        <v>280</v>
      </c>
      <c r="B22">
        <f>_xlfn.XLOOKUP(A22,'Do podmianki'!A:A,'Do podmianki'!B:B,K22)</f>
        <v>0</v>
      </c>
      <c r="C22">
        <v>0</v>
      </c>
      <c r="K22" s="3">
        <v>1E-10</v>
      </c>
      <c r="L22">
        <v>0</v>
      </c>
    </row>
    <row r="23" spans="1:12" x14ac:dyDescent="0.25">
      <c r="A23" t="s">
        <v>281</v>
      </c>
      <c r="B23">
        <f>_xlfn.XLOOKUP(A23,'Do podmianki'!A:A,'Do podmianki'!B:B,K23)</f>
        <v>0</v>
      </c>
      <c r="C23">
        <v>0</v>
      </c>
      <c r="K23" s="3">
        <v>1E-10</v>
      </c>
      <c r="L23">
        <v>0</v>
      </c>
    </row>
    <row r="24" spans="1:12" x14ac:dyDescent="0.25">
      <c r="A24" t="s">
        <v>282</v>
      </c>
      <c r="B24">
        <f>_xlfn.XLOOKUP(A24,'Do podmianki'!A:A,'Do podmianki'!B:B,K24)</f>
        <v>0</v>
      </c>
      <c r="C24">
        <v>0</v>
      </c>
      <c r="K24" s="3">
        <v>1E-10</v>
      </c>
      <c r="L24">
        <v>0</v>
      </c>
    </row>
    <row r="25" spans="1:12" x14ac:dyDescent="0.25">
      <c r="A25" t="s">
        <v>283</v>
      </c>
      <c r="B25">
        <f>_xlfn.XLOOKUP(A25,'Do podmianki'!A:A,'Do podmianki'!B:B,K25)</f>
        <v>0</v>
      </c>
      <c r="C25">
        <v>0</v>
      </c>
      <c r="K25" s="3">
        <v>1E-10</v>
      </c>
      <c r="L25">
        <v>0</v>
      </c>
    </row>
    <row r="26" spans="1:12" x14ac:dyDescent="0.25">
      <c r="A26" t="s">
        <v>284</v>
      </c>
      <c r="B26">
        <f>_xlfn.XLOOKUP(A26,'Do podmianki'!A:A,'Do podmianki'!B:B,K26)</f>
        <v>0</v>
      </c>
      <c r="C26">
        <v>0</v>
      </c>
      <c r="K26" s="3">
        <v>1E-10</v>
      </c>
      <c r="L26">
        <v>0</v>
      </c>
    </row>
    <row r="27" spans="1:12" x14ac:dyDescent="0.25">
      <c r="A27" t="s">
        <v>285</v>
      </c>
      <c r="B27">
        <f>_xlfn.XLOOKUP(A27,'Do podmianki'!A:A,'Do podmianki'!B:B,K27)</f>
        <v>0</v>
      </c>
      <c r="C27">
        <v>0</v>
      </c>
      <c r="K27" s="3">
        <v>1E-10</v>
      </c>
      <c r="L27">
        <v>0</v>
      </c>
    </row>
    <row r="28" spans="1:12" x14ac:dyDescent="0.25">
      <c r="A28" t="s">
        <v>286</v>
      </c>
      <c r="B28">
        <f>_xlfn.XLOOKUP(A28,'Do podmianki'!A:A,'Do podmianki'!B:B,K28)</f>
        <v>0</v>
      </c>
      <c r="C28">
        <v>0</v>
      </c>
      <c r="K28" s="3">
        <v>1E-10</v>
      </c>
      <c r="L28">
        <v>0</v>
      </c>
    </row>
    <row r="29" spans="1:12" x14ac:dyDescent="0.25">
      <c r="A29" t="s">
        <v>287</v>
      </c>
      <c r="B29">
        <f>_xlfn.XLOOKUP(A29,'Do podmianki'!A:A,'Do podmianki'!B:B,K29)</f>
        <v>0</v>
      </c>
      <c r="C29">
        <v>0</v>
      </c>
      <c r="K29" s="3">
        <v>1E-10</v>
      </c>
      <c r="L29">
        <v>0</v>
      </c>
    </row>
    <row r="30" spans="1:12" x14ac:dyDescent="0.25">
      <c r="A30" t="s">
        <v>288</v>
      </c>
      <c r="B30">
        <f>_xlfn.XLOOKUP(A30,'Do podmianki'!A:A,'Do podmianki'!B:B,K30)</f>
        <v>0</v>
      </c>
      <c r="C30">
        <v>0</v>
      </c>
      <c r="K30" s="3">
        <v>1E-10</v>
      </c>
      <c r="L30">
        <v>0</v>
      </c>
    </row>
    <row r="31" spans="1:12" x14ac:dyDescent="0.25">
      <c r="A31" t="s">
        <v>289</v>
      </c>
      <c r="B31">
        <f>_xlfn.XLOOKUP(A31,'Do podmianki'!A:A,'Do podmianki'!B:B,K31)</f>
        <v>0</v>
      </c>
      <c r="C31">
        <v>0</v>
      </c>
      <c r="K31" s="3">
        <v>1E-10</v>
      </c>
      <c r="L31">
        <v>0</v>
      </c>
    </row>
    <row r="32" spans="1:12" x14ac:dyDescent="0.25">
      <c r="A32" t="s">
        <v>290</v>
      </c>
      <c r="B32">
        <f>_xlfn.XLOOKUP(A32,'Do podmianki'!A:A,'Do podmianki'!B:B,K32)</f>
        <v>0</v>
      </c>
      <c r="C32">
        <v>0</v>
      </c>
      <c r="K32" s="3">
        <v>1E-10</v>
      </c>
      <c r="L32">
        <v>0</v>
      </c>
    </row>
    <row r="33" spans="1:12" x14ac:dyDescent="0.25">
      <c r="A33" t="s">
        <v>291</v>
      </c>
      <c r="B33">
        <f>_xlfn.XLOOKUP(A33,'Do podmianki'!A:A,'Do podmianki'!B:B,K33)</f>
        <v>0</v>
      </c>
      <c r="C33">
        <v>0</v>
      </c>
      <c r="K33" s="3">
        <v>1E-10</v>
      </c>
      <c r="L33">
        <v>0</v>
      </c>
    </row>
    <row r="34" spans="1:12" x14ac:dyDescent="0.25">
      <c r="A34" t="s">
        <v>292</v>
      </c>
      <c r="B34">
        <f>_xlfn.XLOOKUP(A34,'Do podmianki'!A:A,'Do podmianki'!B:B,K34)</f>
        <v>0</v>
      </c>
      <c r="C34">
        <v>0</v>
      </c>
      <c r="K34" s="3">
        <v>1E-10</v>
      </c>
      <c r="L34">
        <v>0</v>
      </c>
    </row>
    <row r="35" spans="1:12" x14ac:dyDescent="0.25">
      <c r="A35" t="s">
        <v>293</v>
      </c>
      <c r="B35">
        <f>_xlfn.XLOOKUP(A35,'Do podmianki'!A:A,'Do podmianki'!B:B,K35)</f>
        <v>0</v>
      </c>
      <c r="C35">
        <v>0</v>
      </c>
      <c r="K35" s="3">
        <v>1E-10</v>
      </c>
      <c r="L35">
        <v>0</v>
      </c>
    </row>
    <row r="36" spans="1:12" x14ac:dyDescent="0.25">
      <c r="A36" t="s">
        <v>294</v>
      </c>
      <c r="B36">
        <f>_xlfn.XLOOKUP(A36,'Do podmianki'!A:A,'Do podmianki'!B:B,K36)</f>
        <v>0</v>
      </c>
      <c r="C36">
        <v>0</v>
      </c>
      <c r="K36" s="3">
        <v>1E-10</v>
      </c>
      <c r="L36">
        <v>0</v>
      </c>
    </row>
    <row r="37" spans="1:12" x14ac:dyDescent="0.25">
      <c r="A37" t="s">
        <v>295</v>
      </c>
      <c r="B37">
        <f>_xlfn.XLOOKUP(A37,'Do podmianki'!A:A,'Do podmianki'!B:B,K37)</f>
        <v>0</v>
      </c>
      <c r="C37">
        <v>0</v>
      </c>
      <c r="K37" s="3">
        <v>1E-10</v>
      </c>
      <c r="L37">
        <v>0</v>
      </c>
    </row>
    <row r="38" spans="1:12" x14ac:dyDescent="0.25">
      <c r="A38" t="s">
        <v>296</v>
      </c>
      <c r="B38">
        <f>_xlfn.XLOOKUP(A38,'Do podmianki'!A:A,'Do podmianki'!B:B,K38)</f>
        <v>0</v>
      </c>
      <c r="C38">
        <v>0</v>
      </c>
      <c r="K38" s="3">
        <v>1E-10</v>
      </c>
      <c r="L38">
        <v>0</v>
      </c>
    </row>
    <row r="39" spans="1:12" x14ac:dyDescent="0.25">
      <c r="A39" t="s">
        <v>297</v>
      </c>
      <c r="B39">
        <f>_xlfn.XLOOKUP(A39,'Do podmianki'!A:A,'Do podmianki'!B:B,K39)</f>
        <v>0</v>
      </c>
      <c r="C39">
        <v>0</v>
      </c>
      <c r="K39" s="3">
        <v>1E-10</v>
      </c>
      <c r="L39">
        <v>0</v>
      </c>
    </row>
    <row r="40" spans="1:12" x14ac:dyDescent="0.25">
      <c r="A40" t="s">
        <v>298</v>
      </c>
      <c r="B40">
        <f>_xlfn.XLOOKUP(A40,'Do podmianki'!A:A,'Do podmianki'!B:B,K40)</f>
        <v>0</v>
      </c>
      <c r="C40">
        <v>0</v>
      </c>
      <c r="K40" s="3">
        <v>1E-10</v>
      </c>
      <c r="L40">
        <v>0</v>
      </c>
    </row>
    <row r="41" spans="1:12" x14ac:dyDescent="0.25">
      <c r="A41" t="s">
        <v>299</v>
      </c>
      <c r="B41">
        <f>_xlfn.XLOOKUP(A41,'Do podmianki'!A:A,'Do podmianki'!B:B,K41)</f>
        <v>0</v>
      </c>
      <c r="C41">
        <v>0</v>
      </c>
      <c r="K41" s="3">
        <v>1E-10</v>
      </c>
      <c r="L41">
        <v>0</v>
      </c>
    </row>
    <row r="42" spans="1:12" x14ac:dyDescent="0.25">
      <c r="A42" t="s">
        <v>300</v>
      </c>
      <c r="B42">
        <f>_xlfn.XLOOKUP(A42,'Do podmianki'!A:A,'Do podmianki'!B:B,K42)</f>
        <v>0</v>
      </c>
      <c r="C42">
        <v>0</v>
      </c>
      <c r="K42" s="3">
        <v>1E-10</v>
      </c>
      <c r="L42">
        <v>0</v>
      </c>
    </row>
    <row r="43" spans="1:12" x14ac:dyDescent="0.25">
      <c r="A43" t="s">
        <v>301</v>
      </c>
      <c r="B43">
        <f>_xlfn.XLOOKUP(A43,'Do podmianki'!A:A,'Do podmianki'!B:B,K43)</f>
        <v>0</v>
      </c>
      <c r="C43">
        <v>0</v>
      </c>
      <c r="K43" s="3">
        <v>1E-10</v>
      </c>
      <c r="L43">
        <v>0</v>
      </c>
    </row>
    <row r="44" spans="1:12" x14ac:dyDescent="0.25">
      <c r="A44" t="s">
        <v>302</v>
      </c>
      <c r="B44">
        <f>_xlfn.XLOOKUP(A44,'Do podmianki'!A:A,'Do podmianki'!B:B,K44)</f>
        <v>0</v>
      </c>
      <c r="C44">
        <v>0</v>
      </c>
      <c r="K44" s="3">
        <v>1E-10</v>
      </c>
      <c r="L44">
        <v>0</v>
      </c>
    </row>
    <row r="45" spans="1:12" x14ac:dyDescent="0.25">
      <c r="A45" t="s">
        <v>303</v>
      </c>
      <c r="B45">
        <f>_xlfn.XLOOKUP(A45,'Do podmianki'!A:A,'Do podmianki'!B:B,K45)</f>
        <v>0</v>
      </c>
      <c r="C45">
        <v>0</v>
      </c>
      <c r="K45" s="3">
        <v>1E-10</v>
      </c>
      <c r="L45">
        <v>0</v>
      </c>
    </row>
    <row r="46" spans="1:12" x14ac:dyDescent="0.25">
      <c r="A46" t="s">
        <v>304</v>
      </c>
      <c r="B46">
        <f>_xlfn.XLOOKUP(A46,'Do podmianki'!A:A,'Do podmianki'!B:B,K46)</f>
        <v>0</v>
      </c>
      <c r="C46">
        <v>0</v>
      </c>
      <c r="K46" s="3">
        <v>1E-10</v>
      </c>
      <c r="L46">
        <v>0</v>
      </c>
    </row>
    <row r="47" spans="1:12" x14ac:dyDescent="0.25">
      <c r="A47" t="s">
        <v>305</v>
      </c>
      <c r="B47">
        <f>_xlfn.XLOOKUP(A47,'Do podmianki'!A:A,'Do podmianki'!B:B,K47)</f>
        <v>0</v>
      </c>
      <c r="C47">
        <v>0</v>
      </c>
      <c r="K47" s="3">
        <v>1E-10</v>
      </c>
      <c r="L47">
        <v>0</v>
      </c>
    </row>
    <row r="48" spans="1:12" x14ac:dyDescent="0.25">
      <c r="A48" t="s">
        <v>306</v>
      </c>
      <c r="B48">
        <f>_xlfn.XLOOKUP(A48,'Do podmianki'!A:A,'Do podmianki'!B:B,K48)</f>
        <v>0</v>
      </c>
      <c r="C48">
        <v>0</v>
      </c>
      <c r="K48" s="3">
        <v>1E-10</v>
      </c>
      <c r="L48">
        <v>0</v>
      </c>
    </row>
    <row r="49" spans="1:12" x14ac:dyDescent="0.25">
      <c r="A49" t="s">
        <v>307</v>
      </c>
      <c r="B49">
        <f>_xlfn.XLOOKUP(A49,'Do podmianki'!A:A,'Do podmianki'!B:B,K49)</f>
        <v>0</v>
      </c>
      <c r="C49">
        <v>0</v>
      </c>
      <c r="K49" s="3">
        <v>1E-10</v>
      </c>
      <c r="L49">
        <v>0</v>
      </c>
    </row>
    <row r="50" spans="1:12" x14ac:dyDescent="0.25">
      <c r="A50" t="s">
        <v>308</v>
      </c>
      <c r="B50">
        <f>_xlfn.XLOOKUP(A50,'Do podmianki'!A:A,'Do podmianki'!B:B,K50)</f>
        <v>0</v>
      </c>
      <c r="C50">
        <v>0</v>
      </c>
      <c r="K50" s="3">
        <v>1E-10</v>
      </c>
      <c r="L50">
        <v>0</v>
      </c>
    </row>
    <row r="51" spans="1:12" x14ac:dyDescent="0.25">
      <c r="A51" t="s">
        <v>309</v>
      </c>
      <c r="B51">
        <f>_xlfn.XLOOKUP(A51,'Do podmianki'!A:A,'Do podmianki'!B:B,K51)</f>
        <v>0</v>
      </c>
      <c r="C51">
        <v>0</v>
      </c>
      <c r="K51" s="3">
        <v>1E-10</v>
      </c>
      <c r="L51">
        <v>0</v>
      </c>
    </row>
    <row r="52" spans="1:12" x14ac:dyDescent="0.25">
      <c r="A52" t="s">
        <v>310</v>
      </c>
      <c r="B52">
        <f>_xlfn.XLOOKUP(A52,'Do podmianki'!A:A,'Do podmianki'!B:B,K52)</f>
        <v>0</v>
      </c>
      <c r="C52">
        <v>0</v>
      </c>
      <c r="K52" s="3">
        <v>1E-10</v>
      </c>
      <c r="L52">
        <v>0</v>
      </c>
    </row>
    <row r="53" spans="1:12" x14ac:dyDescent="0.25">
      <c r="A53" t="s">
        <v>311</v>
      </c>
      <c r="B53">
        <f>_xlfn.XLOOKUP(A53,'Do podmianki'!A:A,'Do podmianki'!B:B,K53)</f>
        <v>0</v>
      </c>
      <c r="C53">
        <v>0</v>
      </c>
      <c r="K53" s="3">
        <v>1E-10</v>
      </c>
      <c r="L53">
        <v>0</v>
      </c>
    </row>
    <row r="54" spans="1:12" x14ac:dyDescent="0.25">
      <c r="A54" t="s">
        <v>312</v>
      </c>
      <c r="B54">
        <f>_xlfn.XLOOKUP(A54,'Do podmianki'!A:A,'Do podmianki'!B:B,K54)</f>
        <v>0</v>
      </c>
      <c r="C54">
        <v>0</v>
      </c>
      <c r="K54" s="3">
        <v>1E-10</v>
      </c>
      <c r="L54">
        <v>0</v>
      </c>
    </row>
    <row r="55" spans="1:12" x14ac:dyDescent="0.25">
      <c r="A55" t="s">
        <v>313</v>
      </c>
      <c r="B55">
        <f>_xlfn.XLOOKUP(A55,'Do podmianki'!A:A,'Do podmianki'!B:B,K55)</f>
        <v>0</v>
      </c>
      <c r="C55">
        <v>0</v>
      </c>
      <c r="K55" s="3">
        <v>1E-10</v>
      </c>
      <c r="L55">
        <v>0</v>
      </c>
    </row>
    <row r="56" spans="1:12" x14ac:dyDescent="0.25">
      <c r="A56" t="s">
        <v>314</v>
      </c>
      <c r="B56">
        <f>_xlfn.XLOOKUP(A56,'Do podmianki'!A:A,'Do podmianki'!B:B,K56)</f>
        <v>0</v>
      </c>
      <c r="C56">
        <v>0</v>
      </c>
      <c r="K56" s="3">
        <v>1E-10</v>
      </c>
      <c r="L56">
        <v>0</v>
      </c>
    </row>
    <row r="57" spans="1:12" x14ac:dyDescent="0.25">
      <c r="A57" t="s">
        <v>315</v>
      </c>
      <c r="B57">
        <f>_xlfn.XLOOKUP(A57,'Do podmianki'!A:A,'Do podmianki'!B:B,K57)</f>
        <v>0</v>
      </c>
      <c r="C57">
        <v>0</v>
      </c>
      <c r="K57" s="3">
        <v>1E-10</v>
      </c>
      <c r="L57">
        <v>0</v>
      </c>
    </row>
    <row r="58" spans="1:12" x14ac:dyDescent="0.25">
      <c r="A58" t="s">
        <v>316</v>
      </c>
      <c r="B58">
        <f>_xlfn.XLOOKUP(A58,'Do podmianki'!A:A,'Do podmianki'!B:B,K58)</f>
        <v>0</v>
      </c>
      <c r="C58">
        <v>0</v>
      </c>
      <c r="K58" s="3">
        <v>1E-10</v>
      </c>
      <c r="L58">
        <v>0</v>
      </c>
    </row>
    <row r="59" spans="1:12" x14ac:dyDescent="0.25">
      <c r="A59" t="s">
        <v>317</v>
      </c>
      <c r="B59">
        <f>_xlfn.XLOOKUP(A59,'Do podmianki'!A:A,'Do podmianki'!B:B,K59)</f>
        <v>0</v>
      </c>
      <c r="C59">
        <v>0</v>
      </c>
      <c r="K59" s="3">
        <v>1E-10</v>
      </c>
      <c r="L59">
        <v>0</v>
      </c>
    </row>
    <row r="60" spans="1:12" x14ac:dyDescent="0.25">
      <c r="A60" t="s">
        <v>318</v>
      </c>
      <c r="B60">
        <f>_xlfn.XLOOKUP(A60,'Do podmianki'!A:A,'Do podmianki'!B:B,K60)</f>
        <v>0</v>
      </c>
      <c r="C60">
        <v>0</v>
      </c>
      <c r="K60" s="3">
        <v>1E-10</v>
      </c>
      <c r="L60">
        <v>0</v>
      </c>
    </row>
    <row r="61" spans="1:12" x14ac:dyDescent="0.25">
      <c r="A61" t="s">
        <v>319</v>
      </c>
      <c r="B61">
        <f>_xlfn.XLOOKUP(A61,'Do podmianki'!A:A,'Do podmianki'!B:B,K61)</f>
        <v>0</v>
      </c>
      <c r="C61">
        <v>0</v>
      </c>
      <c r="K61" s="3">
        <v>1E-10</v>
      </c>
      <c r="L61">
        <v>0</v>
      </c>
    </row>
    <row r="62" spans="1:12" x14ac:dyDescent="0.25">
      <c r="A62" t="s">
        <v>320</v>
      </c>
      <c r="B62">
        <f>_xlfn.XLOOKUP(A62,'Do podmianki'!A:A,'Do podmianki'!B:B,K62)</f>
        <v>0</v>
      </c>
      <c r="C62">
        <v>0</v>
      </c>
      <c r="K62" s="3">
        <v>1E-10</v>
      </c>
      <c r="L62">
        <v>0</v>
      </c>
    </row>
    <row r="63" spans="1:12" x14ac:dyDescent="0.25">
      <c r="A63" t="s">
        <v>321</v>
      </c>
      <c r="B63">
        <f>_xlfn.XLOOKUP(A63,'Do podmianki'!A:A,'Do podmianki'!B:B,K63)</f>
        <v>0</v>
      </c>
      <c r="C63">
        <v>0</v>
      </c>
      <c r="K63" s="3">
        <v>1E-10</v>
      </c>
      <c r="L63">
        <v>0</v>
      </c>
    </row>
    <row r="64" spans="1:12" x14ac:dyDescent="0.25">
      <c r="A64" t="s">
        <v>322</v>
      </c>
      <c r="B64">
        <f>_xlfn.XLOOKUP(A64,'Do podmianki'!A:A,'Do podmianki'!B:B,K64)</f>
        <v>0</v>
      </c>
      <c r="C64">
        <v>0</v>
      </c>
      <c r="K64" s="3">
        <v>1E-10</v>
      </c>
      <c r="L64">
        <v>0</v>
      </c>
    </row>
    <row r="65" spans="1:12" x14ac:dyDescent="0.25">
      <c r="A65" t="s">
        <v>323</v>
      </c>
      <c r="B65">
        <f>_xlfn.XLOOKUP(A65,'Do podmianki'!A:A,'Do podmianki'!B:B,K65)</f>
        <v>0</v>
      </c>
      <c r="C65">
        <v>0</v>
      </c>
      <c r="K65" s="3">
        <v>1E-10</v>
      </c>
      <c r="L65">
        <v>0</v>
      </c>
    </row>
    <row r="66" spans="1:12" x14ac:dyDescent="0.25">
      <c r="A66" t="s">
        <v>324</v>
      </c>
      <c r="B66">
        <f>_xlfn.XLOOKUP(A66,'Do podmianki'!A:A,'Do podmianki'!B:B,K66)</f>
        <v>0</v>
      </c>
      <c r="C66">
        <v>0</v>
      </c>
      <c r="K66" s="3">
        <v>1E-10</v>
      </c>
      <c r="L66">
        <v>0</v>
      </c>
    </row>
    <row r="67" spans="1:12" x14ac:dyDescent="0.25">
      <c r="A67" t="s">
        <v>325</v>
      </c>
      <c r="B67">
        <f>_xlfn.XLOOKUP(A67,'Do podmianki'!A:A,'Do podmianki'!B:B,K67)</f>
        <v>0</v>
      </c>
      <c r="C67">
        <v>0</v>
      </c>
      <c r="K67" s="3">
        <v>1E-10</v>
      </c>
      <c r="L67">
        <v>0</v>
      </c>
    </row>
    <row r="68" spans="1:12" x14ac:dyDescent="0.25">
      <c r="A68" t="s">
        <v>326</v>
      </c>
      <c r="B68">
        <f>_xlfn.XLOOKUP(A68,'Do podmianki'!A:A,'Do podmianki'!B:B,K68)</f>
        <v>0</v>
      </c>
      <c r="C68">
        <v>0</v>
      </c>
      <c r="K68" s="3">
        <v>1E-10</v>
      </c>
      <c r="L68">
        <v>0</v>
      </c>
    </row>
    <row r="69" spans="1:12" x14ac:dyDescent="0.25">
      <c r="A69" t="s">
        <v>327</v>
      </c>
      <c r="B69">
        <f>_xlfn.XLOOKUP(A69,'Do podmianki'!A:A,'Do podmianki'!B:B,K69)</f>
        <v>0</v>
      </c>
      <c r="C69">
        <v>0</v>
      </c>
      <c r="K69" s="3">
        <v>1E-10</v>
      </c>
      <c r="L69">
        <v>0</v>
      </c>
    </row>
    <row r="70" spans="1:12" x14ac:dyDescent="0.25">
      <c r="A70" t="s">
        <v>328</v>
      </c>
      <c r="B70">
        <f>_xlfn.XLOOKUP(A70,'Do podmianki'!A:A,'Do podmianki'!B:B,K70)</f>
        <v>0</v>
      </c>
      <c r="C70">
        <v>0</v>
      </c>
      <c r="K70" s="3">
        <v>1E-10</v>
      </c>
      <c r="L70">
        <v>0</v>
      </c>
    </row>
    <row r="71" spans="1:12" x14ac:dyDescent="0.25">
      <c r="A71" t="s">
        <v>329</v>
      </c>
      <c r="B71">
        <f>_xlfn.XLOOKUP(A71,'Do podmianki'!A:A,'Do podmianki'!B:B,K71)</f>
        <v>0</v>
      </c>
      <c r="C71">
        <v>0</v>
      </c>
      <c r="K71" s="3">
        <v>1E-10</v>
      </c>
      <c r="L71">
        <v>0</v>
      </c>
    </row>
    <row r="72" spans="1:12" x14ac:dyDescent="0.25">
      <c r="A72" t="s">
        <v>330</v>
      </c>
      <c r="B72">
        <f>_xlfn.XLOOKUP(A72,'Do podmianki'!A:A,'Do podmianki'!B:B,K72)</f>
        <v>0</v>
      </c>
      <c r="C72">
        <v>0</v>
      </c>
      <c r="K72" s="3">
        <v>1E-10</v>
      </c>
      <c r="L72">
        <v>0</v>
      </c>
    </row>
    <row r="73" spans="1:12" x14ac:dyDescent="0.25">
      <c r="A73" t="s">
        <v>331</v>
      </c>
      <c r="B73">
        <f>_xlfn.XLOOKUP(A73,'Do podmianki'!A:A,'Do podmianki'!B:B,K73)</f>
        <v>0</v>
      </c>
      <c r="C73">
        <v>0</v>
      </c>
      <c r="K73" s="3">
        <v>1E-10</v>
      </c>
      <c r="L73">
        <v>0</v>
      </c>
    </row>
    <row r="74" spans="1:12" x14ac:dyDescent="0.25">
      <c r="A74" t="s">
        <v>332</v>
      </c>
      <c r="B74">
        <f>_xlfn.XLOOKUP(A74,'Do podmianki'!A:A,'Do podmianki'!B:B,K74)</f>
        <v>0</v>
      </c>
      <c r="C74">
        <v>0</v>
      </c>
      <c r="K74" s="3">
        <v>1E-10</v>
      </c>
      <c r="L74">
        <v>0</v>
      </c>
    </row>
    <row r="75" spans="1:12" x14ac:dyDescent="0.25">
      <c r="A75" t="s">
        <v>333</v>
      </c>
      <c r="B75">
        <f>_xlfn.XLOOKUP(A75,'Do podmianki'!A:A,'Do podmianki'!B:B,K75)</f>
        <v>0</v>
      </c>
      <c r="C75">
        <v>0</v>
      </c>
      <c r="K75" s="3">
        <v>1E-10</v>
      </c>
      <c r="L75">
        <v>0</v>
      </c>
    </row>
    <row r="76" spans="1:12" x14ac:dyDescent="0.25">
      <c r="A76" t="s">
        <v>334</v>
      </c>
      <c r="B76">
        <f>_xlfn.XLOOKUP(A76,'Do podmianki'!A:A,'Do podmianki'!B:B,K76)</f>
        <v>0</v>
      </c>
      <c r="C76">
        <v>0</v>
      </c>
      <c r="K76" s="3">
        <v>1E-10</v>
      </c>
      <c r="L76">
        <v>0</v>
      </c>
    </row>
    <row r="77" spans="1:12" x14ac:dyDescent="0.25">
      <c r="A77" t="s">
        <v>335</v>
      </c>
      <c r="B77">
        <f>_xlfn.XLOOKUP(A77,'Do podmianki'!A:A,'Do podmianki'!B:B,K77)</f>
        <v>0</v>
      </c>
      <c r="C77">
        <v>0</v>
      </c>
      <c r="K77" s="3">
        <v>1E-10</v>
      </c>
      <c r="L77">
        <v>0</v>
      </c>
    </row>
    <row r="78" spans="1:12" x14ac:dyDescent="0.25">
      <c r="A78" t="s">
        <v>336</v>
      </c>
      <c r="B78">
        <f>_xlfn.XLOOKUP(A78,'Do podmianki'!A:A,'Do podmianki'!B:B,K78)</f>
        <v>0</v>
      </c>
      <c r="C78">
        <v>0</v>
      </c>
      <c r="K78" s="3">
        <v>1E-10</v>
      </c>
      <c r="L78">
        <v>0</v>
      </c>
    </row>
    <row r="79" spans="1:12" x14ac:dyDescent="0.25">
      <c r="A79" t="s">
        <v>337</v>
      </c>
      <c r="B79">
        <f>_xlfn.XLOOKUP(A79,'Do podmianki'!A:A,'Do podmianki'!B:B,K79)</f>
        <v>0</v>
      </c>
      <c r="C79">
        <v>0</v>
      </c>
      <c r="K79" s="3">
        <v>1E-10</v>
      </c>
      <c r="L79">
        <v>0</v>
      </c>
    </row>
    <row r="80" spans="1:12" x14ac:dyDescent="0.25">
      <c r="A80" t="s">
        <v>338</v>
      </c>
      <c r="B80">
        <f>_xlfn.XLOOKUP(A80,'Do podmianki'!A:A,'Do podmianki'!B:B,K80)</f>
        <v>0</v>
      </c>
      <c r="C80">
        <v>0</v>
      </c>
      <c r="K80" s="3">
        <v>1E-10</v>
      </c>
      <c r="L80">
        <v>0</v>
      </c>
    </row>
    <row r="81" spans="1:12" x14ac:dyDescent="0.25">
      <c r="A81" t="s">
        <v>339</v>
      </c>
      <c r="B81">
        <f>_xlfn.XLOOKUP(A81,'Do podmianki'!A:A,'Do podmianki'!B:B,K81)</f>
        <v>0</v>
      </c>
      <c r="C81">
        <v>0</v>
      </c>
      <c r="K81" s="3">
        <v>1E-10</v>
      </c>
      <c r="L81">
        <v>0</v>
      </c>
    </row>
    <row r="82" spans="1:12" x14ac:dyDescent="0.25">
      <c r="A82" t="s">
        <v>340</v>
      </c>
      <c r="B82">
        <f>_xlfn.XLOOKUP(A82,'Do podmianki'!A:A,'Do podmianki'!B:B,K82)</f>
        <v>0</v>
      </c>
      <c r="C82">
        <v>0</v>
      </c>
      <c r="K82" s="3">
        <v>1E-10</v>
      </c>
      <c r="L82">
        <v>0</v>
      </c>
    </row>
    <row r="83" spans="1:12" x14ac:dyDescent="0.25">
      <c r="A83" t="s">
        <v>341</v>
      </c>
      <c r="B83">
        <f>_xlfn.XLOOKUP(A83,'Do podmianki'!A:A,'Do podmianki'!B:B,K83)</f>
        <v>0</v>
      </c>
      <c r="C83">
        <v>0</v>
      </c>
      <c r="K83" s="3">
        <v>1E-10</v>
      </c>
      <c r="L83">
        <v>0</v>
      </c>
    </row>
    <row r="84" spans="1:12" x14ac:dyDescent="0.25">
      <c r="A84" t="s">
        <v>342</v>
      </c>
      <c r="B84">
        <f>_xlfn.XLOOKUP(A84,'Do podmianki'!A:A,'Do podmianki'!B:B,K84)</f>
        <v>0</v>
      </c>
      <c r="C84">
        <v>0</v>
      </c>
      <c r="K84" s="3">
        <v>1E-10</v>
      </c>
      <c r="L84">
        <v>0</v>
      </c>
    </row>
    <row r="85" spans="1:12" x14ac:dyDescent="0.25">
      <c r="A85" t="s">
        <v>343</v>
      </c>
      <c r="B85">
        <f>_xlfn.XLOOKUP(A85,'Do podmianki'!A:A,'Do podmianki'!B:B,K85)</f>
        <v>0</v>
      </c>
      <c r="C85">
        <v>0</v>
      </c>
      <c r="K85" s="3">
        <v>1E-10</v>
      </c>
      <c r="L85">
        <v>0</v>
      </c>
    </row>
    <row r="86" spans="1:12" x14ac:dyDescent="0.25">
      <c r="A86" t="s">
        <v>344</v>
      </c>
      <c r="B86">
        <f>_xlfn.XLOOKUP(A86,'Do podmianki'!A:A,'Do podmianki'!B:B,K86)</f>
        <v>0</v>
      </c>
      <c r="C86">
        <v>0</v>
      </c>
      <c r="K86" s="3">
        <v>1E-10</v>
      </c>
      <c r="L86">
        <v>0</v>
      </c>
    </row>
    <row r="87" spans="1:12" x14ac:dyDescent="0.25">
      <c r="A87" t="s">
        <v>345</v>
      </c>
      <c r="B87">
        <f>_xlfn.XLOOKUP(A87,'Do podmianki'!A:A,'Do podmianki'!B:B,K87)</f>
        <v>0</v>
      </c>
      <c r="C87">
        <v>0</v>
      </c>
      <c r="K87" s="3">
        <v>1E-10</v>
      </c>
      <c r="L87">
        <v>0</v>
      </c>
    </row>
    <row r="88" spans="1:12" x14ac:dyDescent="0.25">
      <c r="A88" t="s">
        <v>346</v>
      </c>
      <c r="B88">
        <f>_xlfn.XLOOKUP(A88,'Do podmianki'!A:A,'Do podmianki'!B:B,K88)</f>
        <v>0</v>
      </c>
      <c r="C88">
        <v>0</v>
      </c>
      <c r="K88" s="3">
        <v>1E-10</v>
      </c>
      <c r="L88">
        <v>0</v>
      </c>
    </row>
    <row r="89" spans="1:12" x14ac:dyDescent="0.25">
      <c r="A89" t="s">
        <v>347</v>
      </c>
      <c r="B89">
        <f>_xlfn.XLOOKUP(A89,'Do podmianki'!A:A,'Do podmianki'!B:B,K89)</f>
        <v>0</v>
      </c>
      <c r="C89">
        <v>0</v>
      </c>
      <c r="K89" s="3">
        <v>1E-10</v>
      </c>
      <c r="L89">
        <v>0</v>
      </c>
    </row>
    <row r="90" spans="1:12" x14ac:dyDescent="0.25">
      <c r="A90" t="s">
        <v>348</v>
      </c>
      <c r="B90">
        <f>_xlfn.XLOOKUP(A90,'Do podmianki'!A:A,'Do podmianki'!B:B,K90)</f>
        <v>0</v>
      </c>
      <c r="C90">
        <v>0</v>
      </c>
      <c r="K90" s="3">
        <v>1E-10</v>
      </c>
      <c r="L90">
        <v>0</v>
      </c>
    </row>
    <row r="91" spans="1:12" x14ac:dyDescent="0.25">
      <c r="A91" t="s">
        <v>349</v>
      </c>
      <c r="B91">
        <f>_xlfn.XLOOKUP(A91,'Do podmianki'!A:A,'Do podmianki'!B:B,K91)</f>
        <v>0</v>
      </c>
      <c r="C91">
        <v>0</v>
      </c>
      <c r="K91" s="3">
        <v>1E-10</v>
      </c>
      <c r="L91">
        <v>0</v>
      </c>
    </row>
    <row r="92" spans="1:12" x14ac:dyDescent="0.25">
      <c r="A92" t="s">
        <v>350</v>
      </c>
      <c r="B92">
        <f>_xlfn.XLOOKUP(A92,'Do podmianki'!A:A,'Do podmianki'!B:B,K92)</f>
        <v>0</v>
      </c>
      <c r="C92">
        <v>0</v>
      </c>
      <c r="K92" s="3">
        <v>1E-10</v>
      </c>
      <c r="L92">
        <v>0</v>
      </c>
    </row>
    <row r="93" spans="1:12" x14ac:dyDescent="0.25">
      <c r="A93" t="s">
        <v>351</v>
      </c>
      <c r="B93">
        <f>_xlfn.XLOOKUP(A93,'Do podmianki'!A:A,'Do podmianki'!B:B,K93)</f>
        <v>0</v>
      </c>
      <c r="C93">
        <v>0</v>
      </c>
      <c r="K93" s="3">
        <v>1E-10</v>
      </c>
      <c r="L93">
        <v>0</v>
      </c>
    </row>
    <row r="94" spans="1:12" x14ac:dyDescent="0.25">
      <c r="A94" t="s">
        <v>352</v>
      </c>
      <c r="B94">
        <f>_xlfn.XLOOKUP(A94,'Do podmianki'!A:A,'Do podmianki'!B:B,K94)</f>
        <v>0</v>
      </c>
      <c r="C94">
        <v>0</v>
      </c>
      <c r="K94" s="3">
        <v>1E-10</v>
      </c>
      <c r="L94">
        <v>0</v>
      </c>
    </row>
    <row r="95" spans="1:12" x14ac:dyDescent="0.25">
      <c r="A95" t="s">
        <v>353</v>
      </c>
      <c r="B95">
        <f>_xlfn.XLOOKUP(A95,'Do podmianki'!A:A,'Do podmianki'!B:B,K95)</f>
        <v>0</v>
      </c>
      <c r="C95">
        <v>0</v>
      </c>
      <c r="K95" s="3">
        <v>1E-10</v>
      </c>
      <c r="L95">
        <v>0</v>
      </c>
    </row>
    <row r="96" spans="1:12" x14ac:dyDescent="0.25">
      <c r="A96" t="s">
        <v>354</v>
      </c>
      <c r="B96">
        <f>_xlfn.XLOOKUP(A96,'Do podmianki'!A:A,'Do podmianki'!B:B,K96)</f>
        <v>0</v>
      </c>
      <c r="C96">
        <v>0</v>
      </c>
      <c r="K96" s="3">
        <v>1E-10</v>
      </c>
      <c r="L96">
        <v>0</v>
      </c>
    </row>
    <row r="97" spans="1:12" x14ac:dyDescent="0.25">
      <c r="A97" t="s">
        <v>355</v>
      </c>
      <c r="B97">
        <f>_xlfn.XLOOKUP(A97,'Do podmianki'!A:A,'Do podmianki'!B:B,K97)</f>
        <v>0</v>
      </c>
      <c r="C97">
        <v>0</v>
      </c>
      <c r="K97" s="3">
        <v>1E-10</v>
      </c>
      <c r="L97">
        <v>0</v>
      </c>
    </row>
    <row r="98" spans="1:12" x14ac:dyDescent="0.25">
      <c r="A98" t="s">
        <v>356</v>
      </c>
      <c r="B98">
        <f>_xlfn.XLOOKUP(A98,'Do podmianki'!A:A,'Do podmianki'!B:B,K98)</f>
        <v>0</v>
      </c>
      <c r="C98">
        <v>0</v>
      </c>
      <c r="K98" s="3">
        <v>1E-10</v>
      </c>
      <c r="L98">
        <v>0</v>
      </c>
    </row>
    <row r="99" spans="1:12" x14ac:dyDescent="0.25">
      <c r="A99" t="s">
        <v>357</v>
      </c>
      <c r="B99">
        <f>_xlfn.XLOOKUP(A99,'Do podmianki'!A:A,'Do podmianki'!B:B,K99)</f>
        <v>0</v>
      </c>
      <c r="C99">
        <v>0</v>
      </c>
      <c r="K99" s="3">
        <v>1E-10</v>
      </c>
      <c r="L99">
        <v>0</v>
      </c>
    </row>
    <row r="100" spans="1:12" x14ac:dyDescent="0.25">
      <c r="A100" t="s">
        <v>358</v>
      </c>
      <c r="B100">
        <f>_xlfn.XLOOKUP(A100,'Do podmianki'!A:A,'Do podmianki'!B:B,K100)</f>
        <v>0</v>
      </c>
      <c r="C100">
        <v>0</v>
      </c>
      <c r="K100" s="3">
        <v>1E-10</v>
      </c>
      <c r="L100">
        <v>0</v>
      </c>
    </row>
    <row r="101" spans="1:12" x14ac:dyDescent="0.25">
      <c r="A101" t="s">
        <v>359</v>
      </c>
      <c r="B101">
        <f>_xlfn.XLOOKUP(A101,'Do podmianki'!A:A,'Do podmianki'!B:B,K101)</f>
        <v>0</v>
      </c>
      <c r="C101">
        <v>0</v>
      </c>
      <c r="K101" s="3">
        <v>1E-10</v>
      </c>
      <c r="L101">
        <v>0</v>
      </c>
    </row>
    <row r="102" spans="1:12" x14ac:dyDescent="0.25">
      <c r="A102" t="s">
        <v>360</v>
      </c>
      <c r="B102">
        <f>_xlfn.XLOOKUP(A102,'Do podmianki'!A:A,'Do podmianki'!B:B,K102)</f>
        <v>0</v>
      </c>
      <c r="C102">
        <v>0</v>
      </c>
      <c r="K102" s="3">
        <v>1E-10</v>
      </c>
      <c r="L102">
        <v>0</v>
      </c>
    </row>
    <row r="103" spans="1:12" x14ac:dyDescent="0.25">
      <c r="A103" t="s">
        <v>361</v>
      </c>
      <c r="B103">
        <f>_xlfn.XLOOKUP(A103,'Do podmianki'!A:A,'Do podmianki'!B:B,K103)</f>
        <v>0</v>
      </c>
      <c r="C103">
        <v>0</v>
      </c>
      <c r="K103" s="3">
        <v>1E-10</v>
      </c>
      <c r="L103">
        <v>0</v>
      </c>
    </row>
    <row r="104" spans="1:12" x14ac:dyDescent="0.25">
      <c r="A104" t="s">
        <v>362</v>
      </c>
      <c r="B104">
        <f>_xlfn.XLOOKUP(A104,'Do podmianki'!A:A,'Do podmianki'!B:B,K104)</f>
        <v>0</v>
      </c>
      <c r="C104">
        <v>0</v>
      </c>
      <c r="K104" s="3">
        <v>1E-10</v>
      </c>
      <c r="L104">
        <v>0</v>
      </c>
    </row>
    <row r="105" spans="1:12" x14ac:dyDescent="0.25">
      <c r="A105" t="s">
        <v>363</v>
      </c>
      <c r="B105">
        <f>_xlfn.XLOOKUP(A105,'Do podmianki'!A:A,'Do podmianki'!B:B,K105)</f>
        <v>0</v>
      </c>
      <c r="C105">
        <v>0</v>
      </c>
      <c r="K105" s="3">
        <v>1E-10</v>
      </c>
      <c r="L105">
        <v>0</v>
      </c>
    </row>
    <row r="106" spans="1:12" x14ac:dyDescent="0.25">
      <c r="A106" t="s">
        <v>364</v>
      </c>
      <c r="B106">
        <f>_xlfn.XLOOKUP(A106,'Do podmianki'!A:A,'Do podmianki'!B:B,K106)</f>
        <v>0</v>
      </c>
      <c r="C106">
        <v>0</v>
      </c>
      <c r="K106" s="3">
        <v>1E-10</v>
      </c>
      <c r="L106">
        <v>0</v>
      </c>
    </row>
    <row r="107" spans="1:12" x14ac:dyDescent="0.25">
      <c r="A107" t="s">
        <v>365</v>
      </c>
      <c r="B107">
        <f>_xlfn.XLOOKUP(A107,'Do podmianki'!A:A,'Do podmianki'!B:B,K107)</f>
        <v>0</v>
      </c>
      <c r="C107">
        <v>0</v>
      </c>
      <c r="K107" s="3">
        <v>1E-10</v>
      </c>
      <c r="L107">
        <v>0</v>
      </c>
    </row>
    <row r="108" spans="1:12" x14ac:dyDescent="0.25">
      <c r="A108" t="s">
        <v>366</v>
      </c>
      <c r="B108">
        <f>_xlfn.XLOOKUP(A108,'Do podmianki'!A:A,'Do podmianki'!B:B,K108)</f>
        <v>0</v>
      </c>
      <c r="C108">
        <v>0</v>
      </c>
      <c r="K108" s="3">
        <v>1E-10</v>
      </c>
      <c r="L10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R165"/>
  <sheetViews>
    <sheetView topLeftCell="A133" workbookViewId="0">
      <selection activeCell="H134" sqref="H13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K1" t="s">
        <v>537</v>
      </c>
    </row>
    <row r="2" spans="1:12" x14ac:dyDescent="0.25">
      <c r="A2" t="s">
        <v>367</v>
      </c>
      <c r="B2">
        <f>_xlfn.XLOOKUP(A2,'Do podmianki'!A:A,'Do podmianki'!B:B,K2)</f>
        <v>0</v>
      </c>
      <c r="C2">
        <f>_xlfn.XLOOKUP(A2,'Do podmianki'!A:A,'Do podmianki'!C:C,L2)</f>
        <v>0</v>
      </c>
      <c r="K2">
        <v>0</v>
      </c>
      <c r="L2">
        <v>0</v>
      </c>
    </row>
    <row r="3" spans="1:12" x14ac:dyDescent="0.25">
      <c r="A3" t="s">
        <v>368</v>
      </c>
      <c r="B3">
        <f>_xlfn.XLOOKUP(A3,'Do podmianki'!A:A,'Do podmianki'!B:B,K3)</f>
        <v>0</v>
      </c>
      <c r="C3">
        <f>_xlfn.XLOOKUP(A3,'Do podmianki'!A:A,'Do podmianki'!C:C,L3)</f>
        <v>0</v>
      </c>
      <c r="K3">
        <v>0</v>
      </c>
      <c r="L3">
        <v>0</v>
      </c>
    </row>
    <row r="4" spans="1:12" x14ac:dyDescent="0.25">
      <c r="A4" t="s">
        <v>369</v>
      </c>
      <c r="B4">
        <f>_xlfn.XLOOKUP(A4,'Do podmianki'!A:A,'Do podmianki'!B:B,K4)</f>
        <v>0</v>
      </c>
      <c r="C4">
        <f>_xlfn.XLOOKUP(A4,'Do podmianki'!A:A,'Do podmianki'!C:C,L4)</f>
        <v>0</v>
      </c>
      <c r="K4">
        <v>0</v>
      </c>
      <c r="L4">
        <v>0</v>
      </c>
    </row>
    <row r="5" spans="1:12" x14ac:dyDescent="0.25">
      <c r="A5" t="s">
        <v>370</v>
      </c>
      <c r="B5">
        <f>_xlfn.XLOOKUP(A5,'Do podmianki'!A:A,'Do podmianki'!B:B,K5)</f>
        <v>0</v>
      </c>
      <c r="C5">
        <f>_xlfn.XLOOKUP(A5,'Do podmianki'!A:A,'Do podmianki'!C:C,L5)</f>
        <v>0</v>
      </c>
      <c r="K5">
        <v>0</v>
      </c>
      <c r="L5">
        <v>0</v>
      </c>
    </row>
    <row r="6" spans="1:12" x14ac:dyDescent="0.25">
      <c r="A6" t="s">
        <v>371</v>
      </c>
      <c r="B6">
        <f>_xlfn.XLOOKUP(A6,'Do podmianki'!A:A,'Do podmianki'!B:B,K6)</f>
        <v>0</v>
      </c>
      <c r="C6">
        <f>_xlfn.XLOOKUP(A6,'Do podmianki'!A:A,'Do podmianki'!C:C,L6)</f>
        <v>0</v>
      </c>
      <c r="K6">
        <v>0</v>
      </c>
      <c r="L6">
        <v>0</v>
      </c>
    </row>
    <row r="7" spans="1:12" x14ac:dyDescent="0.25">
      <c r="A7" t="s">
        <v>372</v>
      </c>
      <c r="B7">
        <f>_xlfn.XLOOKUP(A7,'Do podmianki'!A:A,'Do podmianki'!B:B,K7)</f>
        <v>0</v>
      </c>
      <c r="C7">
        <f>_xlfn.XLOOKUP(A7,'Do podmianki'!A:A,'Do podmianki'!C:C,L7)</f>
        <v>0</v>
      </c>
      <c r="K7">
        <v>0</v>
      </c>
      <c r="L7">
        <v>0</v>
      </c>
    </row>
    <row r="8" spans="1:12" x14ac:dyDescent="0.25">
      <c r="A8" t="s">
        <v>373</v>
      </c>
      <c r="B8">
        <f>_xlfn.XLOOKUP(A8,'Do podmianki'!A:A,'Do podmianki'!B:B,K8)</f>
        <v>0</v>
      </c>
      <c r="C8">
        <f>_xlfn.XLOOKUP(A8,'Do podmianki'!A:A,'Do podmianki'!C:C,L8)</f>
        <v>0</v>
      </c>
      <c r="K8">
        <v>0</v>
      </c>
      <c r="L8">
        <v>0</v>
      </c>
    </row>
    <row r="9" spans="1:12" x14ac:dyDescent="0.25">
      <c r="A9" t="s">
        <v>374</v>
      </c>
      <c r="B9">
        <f>_xlfn.XLOOKUP(A9,'Do podmianki'!A:A,'Do podmianki'!B:B,K9)</f>
        <v>0</v>
      </c>
      <c r="C9">
        <f>_xlfn.XLOOKUP(A9,'Do podmianki'!A:A,'Do podmianki'!C:C,L9)</f>
        <v>0</v>
      </c>
      <c r="K9">
        <v>0</v>
      </c>
      <c r="L9">
        <v>0</v>
      </c>
    </row>
    <row r="10" spans="1:12" x14ac:dyDescent="0.25">
      <c r="A10" t="s">
        <v>375</v>
      </c>
      <c r="B10">
        <f>_xlfn.XLOOKUP(A10,'Do podmianki'!A:A,'Do podmianki'!B:B,K10)</f>
        <v>0</v>
      </c>
      <c r="C10">
        <f>_xlfn.XLOOKUP(A10,'Do podmianki'!A:A,'Do podmianki'!C:C,L10)</f>
        <v>0</v>
      </c>
      <c r="K10">
        <v>0</v>
      </c>
      <c r="L10">
        <v>0</v>
      </c>
    </row>
    <row r="11" spans="1:12" x14ac:dyDescent="0.25">
      <c r="A11" t="s">
        <v>376</v>
      </c>
      <c r="B11">
        <f>_xlfn.XLOOKUP(A11,'Do podmianki'!A:A,'Do podmianki'!B:B,K11)</f>
        <v>0</v>
      </c>
      <c r="C11">
        <f>_xlfn.XLOOKUP(A11,'Do podmianki'!A:A,'Do podmianki'!C:C,L11)</f>
        <v>0</v>
      </c>
      <c r="K11">
        <v>0</v>
      </c>
      <c r="L11">
        <v>0</v>
      </c>
    </row>
    <row r="12" spans="1:12" x14ac:dyDescent="0.25">
      <c r="A12" t="s">
        <v>377</v>
      </c>
      <c r="B12">
        <f>_xlfn.XLOOKUP(A12,'Do podmianki'!A:A,'Do podmianki'!B:B,K12)</f>
        <v>0</v>
      </c>
      <c r="C12">
        <f>_xlfn.XLOOKUP(A12,'Do podmianki'!A:A,'Do podmianki'!C:C,L12)</f>
        <v>0</v>
      </c>
      <c r="K12">
        <v>0</v>
      </c>
      <c r="L12">
        <v>0</v>
      </c>
    </row>
    <row r="13" spans="1:12" x14ac:dyDescent="0.25">
      <c r="A13" t="s">
        <v>378</v>
      </c>
      <c r="B13">
        <f>_xlfn.XLOOKUP(A13,'Do podmianki'!A:A,'Do podmianki'!B:B,K13)</f>
        <v>0</v>
      </c>
      <c r="C13">
        <f>_xlfn.XLOOKUP(A13,'Do podmianki'!A:A,'Do podmianki'!C:C,L13)</f>
        <v>0</v>
      </c>
      <c r="K13">
        <v>0</v>
      </c>
      <c r="L13">
        <v>0</v>
      </c>
    </row>
    <row r="14" spans="1:12" x14ac:dyDescent="0.25">
      <c r="A14" t="s">
        <v>379</v>
      </c>
      <c r="B14">
        <f>_xlfn.XLOOKUP(A14,'Do podmianki'!A:A,'Do podmianki'!B:B,K14)</f>
        <v>0</v>
      </c>
      <c r="C14">
        <f>_xlfn.XLOOKUP(A14,'Do podmianki'!A:A,'Do podmianki'!C:C,L14)</f>
        <v>0</v>
      </c>
      <c r="K14">
        <v>0</v>
      </c>
      <c r="L14">
        <v>0</v>
      </c>
    </row>
    <row r="15" spans="1:12" x14ac:dyDescent="0.25">
      <c r="A15" t="s">
        <v>380</v>
      </c>
      <c r="B15">
        <f>_xlfn.XLOOKUP(A15,'Do podmianki'!A:A,'Do podmianki'!B:B,K15)</f>
        <v>0</v>
      </c>
      <c r="C15">
        <f>_xlfn.XLOOKUP(A15,'Do podmianki'!A:A,'Do podmianki'!C:C,L15)</f>
        <v>0</v>
      </c>
      <c r="K15">
        <v>0</v>
      </c>
      <c r="L15">
        <v>0</v>
      </c>
    </row>
    <row r="16" spans="1:12" x14ac:dyDescent="0.25">
      <c r="A16" t="s">
        <v>381</v>
      </c>
      <c r="B16">
        <f>_xlfn.XLOOKUP(A16,'Do podmianki'!A:A,'Do podmianki'!B:B,K16)</f>
        <v>0</v>
      </c>
      <c r="C16">
        <f>_xlfn.XLOOKUP(A16,'Do podmianki'!A:A,'Do podmianki'!C:C,L16)</f>
        <v>0</v>
      </c>
      <c r="K16">
        <v>0</v>
      </c>
      <c r="L16">
        <v>0</v>
      </c>
    </row>
    <row r="17" spans="1:12" x14ac:dyDescent="0.25">
      <c r="A17" t="s">
        <v>382</v>
      </c>
      <c r="B17">
        <f>_xlfn.XLOOKUP(A17,'Do podmianki'!A:A,'Do podmianki'!B:B,K17)</f>
        <v>0</v>
      </c>
      <c r="C17">
        <f>_xlfn.XLOOKUP(A17,'Do podmianki'!A:A,'Do podmianki'!C:C,L17)</f>
        <v>0</v>
      </c>
      <c r="K17">
        <v>0</v>
      </c>
      <c r="L17">
        <v>0</v>
      </c>
    </row>
    <row r="18" spans="1:12" x14ac:dyDescent="0.25">
      <c r="A18" t="s">
        <v>383</v>
      </c>
      <c r="B18">
        <f>_xlfn.XLOOKUP(A18,'Do podmianki'!A:A,'Do podmianki'!B:B,K18)</f>
        <v>0</v>
      </c>
      <c r="C18">
        <f>_xlfn.XLOOKUP(A18,'Do podmianki'!A:A,'Do podmianki'!C:C,L18)</f>
        <v>0</v>
      </c>
      <c r="K18">
        <v>0</v>
      </c>
      <c r="L18">
        <v>0</v>
      </c>
    </row>
    <row r="19" spans="1:12" x14ac:dyDescent="0.25">
      <c r="A19" t="s">
        <v>384</v>
      </c>
      <c r="B19">
        <f>_xlfn.XLOOKUP(A19,'Do podmianki'!A:A,'Do podmianki'!B:B,K19)</f>
        <v>0</v>
      </c>
      <c r="C19">
        <f>_xlfn.XLOOKUP(A19,'Do podmianki'!A:A,'Do podmianki'!C:C,L19)</f>
        <v>0</v>
      </c>
      <c r="K19">
        <v>0</v>
      </c>
      <c r="L19">
        <v>0</v>
      </c>
    </row>
    <row r="20" spans="1:12" x14ac:dyDescent="0.25">
      <c r="A20" t="s">
        <v>385</v>
      </c>
      <c r="B20">
        <f>_xlfn.XLOOKUP(A20,'Do podmianki'!A:A,'Do podmianki'!B:B,K20)</f>
        <v>0</v>
      </c>
      <c r="C20">
        <f>_xlfn.XLOOKUP(A20,'Do podmianki'!A:A,'Do podmianki'!C:C,L20)</f>
        <v>0</v>
      </c>
      <c r="K20">
        <v>0</v>
      </c>
      <c r="L20">
        <v>0</v>
      </c>
    </row>
    <row r="21" spans="1:12" x14ac:dyDescent="0.25">
      <c r="A21" t="s">
        <v>386</v>
      </c>
      <c r="B21">
        <f>_xlfn.XLOOKUP(A21,'Do podmianki'!A:A,'Do podmianki'!B:B,K21)</f>
        <v>0</v>
      </c>
      <c r="C21">
        <f>_xlfn.XLOOKUP(A21,'Do podmianki'!A:A,'Do podmianki'!C:C,L21)</f>
        <v>0</v>
      </c>
      <c r="K21">
        <v>0</v>
      </c>
      <c r="L21">
        <v>0</v>
      </c>
    </row>
    <row r="22" spans="1:12" x14ac:dyDescent="0.25">
      <c r="A22" t="s">
        <v>387</v>
      </c>
      <c r="B22">
        <f>_xlfn.XLOOKUP(A22,'Do podmianki'!A:A,'Do podmianki'!B:B,K22)</f>
        <v>0</v>
      </c>
      <c r="C22">
        <f>_xlfn.XLOOKUP(A22,'Do podmianki'!A:A,'Do podmianki'!C:C,L22)</f>
        <v>0</v>
      </c>
      <c r="K22">
        <v>0</v>
      </c>
      <c r="L22">
        <v>0</v>
      </c>
    </row>
    <row r="23" spans="1:12" x14ac:dyDescent="0.25">
      <c r="A23" t="s">
        <v>388</v>
      </c>
      <c r="B23">
        <f>_xlfn.XLOOKUP(A23,'Do podmianki'!A:A,'Do podmianki'!B:B,K23)</f>
        <v>0</v>
      </c>
      <c r="C23">
        <f>_xlfn.XLOOKUP(A23,'Do podmianki'!A:A,'Do podmianki'!C:C,L23)</f>
        <v>0</v>
      </c>
      <c r="K23">
        <v>0</v>
      </c>
      <c r="L23">
        <v>0</v>
      </c>
    </row>
    <row r="24" spans="1:12" x14ac:dyDescent="0.25">
      <c r="A24" t="s">
        <v>389</v>
      </c>
      <c r="B24">
        <f>_xlfn.XLOOKUP(A24,'Do podmianki'!A:A,'Do podmianki'!B:B,K24)</f>
        <v>0</v>
      </c>
      <c r="C24">
        <f>_xlfn.XLOOKUP(A24,'Do podmianki'!A:A,'Do podmianki'!C:C,L24)</f>
        <v>0</v>
      </c>
      <c r="K24">
        <v>0</v>
      </c>
      <c r="L24">
        <v>0</v>
      </c>
    </row>
    <row r="25" spans="1:12" x14ac:dyDescent="0.25">
      <c r="A25" t="s">
        <v>390</v>
      </c>
      <c r="B25">
        <f>_xlfn.XLOOKUP(A25,'Do podmianki'!A:A,'Do podmianki'!B:B,K25)</f>
        <v>0</v>
      </c>
      <c r="C25">
        <f>_xlfn.XLOOKUP(A25,'Do podmianki'!A:A,'Do podmianki'!C:C,L25)</f>
        <v>0</v>
      </c>
      <c r="K25">
        <v>0</v>
      </c>
      <c r="L25">
        <v>0</v>
      </c>
    </row>
    <row r="26" spans="1:12" x14ac:dyDescent="0.25">
      <c r="A26" t="s">
        <v>391</v>
      </c>
      <c r="B26">
        <f>_xlfn.XLOOKUP(A26,'Do podmianki'!A:A,'Do podmianki'!B:B,K26)</f>
        <v>0</v>
      </c>
      <c r="C26">
        <f>_xlfn.XLOOKUP(A26,'Do podmianki'!A:A,'Do podmianki'!C:C,L26)</f>
        <v>0</v>
      </c>
      <c r="K26">
        <v>0</v>
      </c>
      <c r="L26">
        <v>0</v>
      </c>
    </row>
    <row r="27" spans="1:12" x14ac:dyDescent="0.25">
      <c r="A27" t="s">
        <v>392</v>
      </c>
      <c r="B27">
        <f>_xlfn.XLOOKUP(A27,'Do podmianki'!A:A,'Do podmianki'!B:B,K27)</f>
        <v>0</v>
      </c>
      <c r="C27">
        <f>_xlfn.XLOOKUP(A27,'Do podmianki'!A:A,'Do podmianki'!C:C,L27)</f>
        <v>0</v>
      </c>
      <c r="K27">
        <v>0</v>
      </c>
      <c r="L27">
        <v>0</v>
      </c>
    </row>
    <row r="28" spans="1:12" x14ac:dyDescent="0.25">
      <c r="A28" t="s">
        <v>393</v>
      </c>
      <c r="B28">
        <f>_xlfn.XLOOKUP(A28,'Do podmianki'!A:A,'Do podmianki'!B:B,K28)</f>
        <v>0</v>
      </c>
      <c r="C28">
        <f>_xlfn.XLOOKUP(A28,'Do podmianki'!A:A,'Do podmianki'!C:C,L28)</f>
        <v>0</v>
      </c>
      <c r="K28">
        <v>0</v>
      </c>
      <c r="L28">
        <v>0</v>
      </c>
    </row>
    <row r="29" spans="1:12" x14ac:dyDescent="0.25">
      <c r="A29" t="s">
        <v>394</v>
      </c>
      <c r="B29">
        <f>_xlfn.XLOOKUP(A29,'Do podmianki'!A:A,'Do podmianki'!B:B,K29)</f>
        <v>0</v>
      </c>
      <c r="C29">
        <f>_xlfn.XLOOKUP(A29,'Do podmianki'!A:A,'Do podmianki'!C:C,L29)</f>
        <v>0</v>
      </c>
      <c r="K29">
        <v>0</v>
      </c>
      <c r="L29">
        <v>0</v>
      </c>
    </row>
    <row r="30" spans="1:12" x14ac:dyDescent="0.25">
      <c r="A30" t="s">
        <v>395</v>
      </c>
      <c r="B30">
        <f>_xlfn.XLOOKUP(A30,'Do podmianki'!A:A,'Do podmianki'!B:B,K30)</f>
        <v>0</v>
      </c>
      <c r="C30">
        <f>_xlfn.XLOOKUP(A30,'Do podmianki'!A:A,'Do podmianki'!C:C,L30)</f>
        <v>0</v>
      </c>
      <c r="K30">
        <v>0</v>
      </c>
      <c r="L30">
        <v>0</v>
      </c>
    </row>
    <row r="31" spans="1:12" x14ac:dyDescent="0.25">
      <c r="A31" t="s">
        <v>396</v>
      </c>
      <c r="B31">
        <f>_xlfn.XLOOKUP(A31,'Do podmianki'!A:A,'Do podmianki'!B:B,K31)</f>
        <v>0</v>
      </c>
      <c r="C31">
        <f>_xlfn.XLOOKUP(A31,'Do podmianki'!A:A,'Do podmianki'!C:C,L31)</f>
        <v>0</v>
      </c>
      <c r="K31">
        <v>0</v>
      </c>
      <c r="L31">
        <v>0</v>
      </c>
    </row>
    <row r="32" spans="1:12" x14ac:dyDescent="0.25">
      <c r="A32" t="s">
        <v>397</v>
      </c>
      <c r="B32">
        <f>_xlfn.XLOOKUP(A32,'Do podmianki'!A:A,'Do podmianki'!B:B,K32)</f>
        <v>0</v>
      </c>
      <c r="C32">
        <f>_xlfn.XLOOKUP(A32,'Do podmianki'!A:A,'Do podmianki'!C:C,L32)</f>
        <v>0</v>
      </c>
      <c r="K32">
        <v>0</v>
      </c>
      <c r="L32">
        <v>0</v>
      </c>
    </row>
    <row r="33" spans="1:12" x14ac:dyDescent="0.25">
      <c r="A33" t="s">
        <v>398</v>
      </c>
      <c r="B33">
        <f>_xlfn.XLOOKUP(A33,'Do podmianki'!A:A,'Do podmianki'!B:B,K33)</f>
        <v>0</v>
      </c>
      <c r="C33">
        <f>_xlfn.XLOOKUP(A33,'Do podmianki'!A:A,'Do podmianki'!C:C,L33)</f>
        <v>0</v>
      </c>
      <c r="K33">
        <v>0</v>
      </c>
      <c r="L33">
        <v>0</v>
      </c>
    </row>
    <row r="34" spans="1:12" x14ac:dyDescent="0.25">
      <c r="A34" t="s">
        <v>399</v>
      </c>
      <c r="B34">
        <f>_xlfn.XLOOKUP(A34,'Do podmianki'!A:A,'Do podmianki'!B:B,K34)</f>
        <v>0</v>
      </c>
      <c r="C34">
        <f>_xlfn.XLOOKUP(A34,'Do podmianki'!A:A,'Do podmianki'!C:C,L34)</f>
        <v>0</v>
      </c>
      <c r="K34">
        <v>0</v>
      </c>
      <c r="L34">
        <v>0</v>
      </c>
    </row>
    <row r="35" spans="1:12" x14ac:dyDescent="0.25">
      <c r="A35" t="s">
        <v>400</v>
      </c>
      <c r="B35">
        <f>_xlfn.XLOOKUP(A35,'Do podmianki'!A:A,'Do podmianki'!B:B,K35)</f>
        <v>0</v>
      </c>
      <c r="C35">
        <f>_xlfn.XLOOKUP(A35,'Do podmianki'!A:A,'Do podmianki'!C:C,L35)</f>
        <v>0</v>
      </c>
      <c r="K35">
        <v>0</v>
      </c>
      <c r="L35">
        <v>0</v>
      </c>
    </row>
    <row r="36" spans="1:12" x14ac:dyDescent="0.25">
      <c r="A36" t="s">
        <v>401</v>
      </c>
      <c r="B36">
        <f>_xlfn.XLOOKUP(A36,'Do podmianki'!A:A,'Do podmianki'!B:B,K36)</f>
        <v>0</v>
      </c>
      <c r="C36">
        <f>_xlfn.XLOOKUP(A36,'Do podmianki'!A:A,'Do podmianki'!C:C,L36)</f>
        <v>0</v>
      </c>
      <c r="K36">
        <v>0</v>
      </c>
      <c r="L36">
        <v>0</v>
      </c>
    </row>
    <row r="37" spans="1:12" x14ac:dyDescent="0.25">
      <c r="A37" t="s">
        <v>402</v>
      </c>
      <c r="B37">
        <f>_xlfn.XLOOKUP(A37,'Do podmianki'!A:A,'Do podmianki'!B:B,K37)</f>
        <v>0</v>
      </c>
      <c r="C37">
        <f>_xlfn.XLOOKUP(A37,'Do podmianki'!A:A,'Do podmianki'!C:C,L37)</f>
        <v>0</v>
      </c>
      <c r="K37">
        <v>0</v>
      </c>
      <c r="L37">
        <v>0</v>
      </c>
    </row>
    <row r="38" spans="1:12" x14ac:dyDescent="0.25">
      <c r="A38" t="s">
        <v>403</v>
      </c>
      <c r="B38">
        <f>_xlfn.XLOOKUP(A38,'Do podmianki'!A:A,'Do podmianki'!B:B,K38)</f>
        <v>0</v>
      </c>
      <c r="C38">
        <f>_xlfn.XLOOKUP(A38,'Do podmianki'!A:A,'Do podmianki'!C:C,L38)</f>
        <v>0</v>
      </c>
      <c r="K38">
        <v>0</v>
      </c>
      <c r="L38">
        <v>0</v>
      </c>
    </row>
    <row r="39" spans="1:12" x14ac:dyDescent="0.25">
      <c r="A39" t="s">
        <v>404</v>
      </c>
      <c r="B39">
        <f>_xlfn.XLOOKUP(A39,'Do podmianki'!A:A,'Do podmianki'!B:B,K39)</f>
        <v>0</v>
      </c>
      <c r="C39">
        <f>_xlfn.XLOOKUP(A39,'Do podmianki'!A:A,'Do podmianki'!C:C,L39)</f>
        <v>0</v>
      </c>
      <c r="K39">
        <v>0</v>
      </c>
      <c r="L39">
        <v>0</v>
      </c>
    </row>
    <row r="40" spans="1:12" x14ac:dyDescent="0.25">
      <c r="A40" t="s">
        <v>405</v>
      </c>
      <c r="B40">
        <f>_xlfn.XLOOKUP(A40,'Do podmianki'!A:A,'Do podmianki'!B:B,K40)</f>
        <v>0</v>
      </c>
      <c r="C40">
        <f>_xlfn.XLOOKUP(A40,'Do podmianki'!A:A,'Do podmianki'!C:C,L40)</f>
        <v>0</v>
      </c>
      <c r="K40">
        <v>0</v>
      </c>
      <c r="L40">
        <v>0</v>
      </c>
    </row>
    <row r="41" spans="1:12" x14ac:dyDescent="0.25">
      <c r="A41" t="s">
        <v>406</v>
      </c>
      <c r="B41">
        <f>_xlfn.XLOOKUP(A41,'Do podmianki'!A:A,'Do podmianki'!B:B,K41)</f>
        <v>0</v>
      </c>
      <c r="C41">
        <f>_xlfn.XLOOKUP(A41,'Do podmianki'!A:A,'Do podmianki'!C:C,L41)</f>
        <v>0</v>
      </c>
      <c r="K41">
        <v>0</v>
      </c>
      <c r="L41">
        <v>0</v>
      </c>
    </row>
    <row r="42" spans="1:12" x14ac:dyDescent="0.25">
      <c r="A42" t="s">
        <v>407</v>
      </c>
      <c r="B42">
        <f>_xlfn.XLOOKUP(A42,'Do podmianki'!A:A,'Do podmianki'!B:B,K42)</f>
        <v>0</v>
      </c>
      <c r="C42">
        <f>_xlfn.XLOOKUP(A42,'Do podmianki'!A:A,'Do podmianki'!C:C,L42)</f>
        <v>0</v>
      </c>
      <c r="K42">
        <v>0</v>
      </c>
      <c r="L42">
        <v>0</v>
      </c>
    </row>
    <row r="43" spans="1:12" x14ac:dyDescent="0.25">
      <c r="A43" t="s">
        <v>408</v>
      </c>
      <c r="B43">
        <f>_xlfn.XLOOKUP(A43,'Do podmianki'!A:A,'Do podmianki'!B:B,K43)</f>
        <v>0</v>
      </c>
      <c r="C43">
        <f>_xlfn.XLOOKUP(A43,'Do podmianki'!A:A,'Do podmianki'!C:C,L43)</f>
        <v>0</v>
      </c>
      <c r="K43">
        <v>0</v>
      </c>
      <c r="L43">
        <v>0</v>
      </c>
    </row>
    <row r="44" spans="1:12" x14ac:dyDescent="0.25">
      <c r="A44" t="s">
        <v>409</v>
      </c>
      <c r="B44">
        <f>_xlfn.XLOOKUP(A44,'Do podmianki'!A:A,'Do podmianki'!B:B,K44)</f>
        <v>0</v>
      </c>
      <c r="C44">
        <f>_xlfn.XLOOKUP(A44,'Do podmianki'!A:A,'Do podmianki'!C:C,L44)</f>
        <v>0</v>
      </c>
      <c r="K44">
        <v>0</v>
      </c>
      <c r="L44">
        <v>0</v>
      </c>
    </row>
    <row r="45" spans="1:12" x14ac:dyDescent="0.25">
      <c r="A45" t="s">
        <v>410</v>
      </c>
      <c r="B45">
        <f>_xlfn.XLOOKUP(A45,'Do podmianki'!A:A,'Do podmianki'!B:B,K45)</f>
        <v>0</v>
      </c>
      <c r="C45">
        <f>_xlfn.XLOOKUP(A45,'Do podmianki'!A:A,'Do podmianki'!C:C,L45)</f>
        <v>0</v>
      </c>
      <c r="K45">
        <v>0</v>
      </c>
      <c r="L45">
        <v>0</v>
      </c>
    </row>
    <row r="46" spans="1:12" x14ac:dyDescent="0.25">
      <c r="A46" t="s">
        <v>411</v>
      </c>
      <c r="B46">
        <f>_xlfn.XLOOKUP(A46,'Do podmianki'!A:A,'Do podmianki'!B:B,K46)</f>
        <v>0</v>
      </c>
      <c r="C46">
        <f>_xlfn.XLOOKUP(A46,'Do podmianki'!A:A,'Do podmianki'!C:C,L46)</f>
        <v>0</v>
      </c>
      <c r="K46">
        <v>0</v>
      </c>
      <c r="L46">
        <v>0</v>
      </c>
    </row>
    <row r="47" spans="1:12" x14ac:dyDescent="0.25">
      <c r="A47" t="s">
        <v>412</v>
      </c>
      <c r="B47">
        <f>_xlfn.XLOOKUP(A47,'Do podmianki'!A:A,'Do podmianki'!B:B,K47)</f>
        <v>0</v>
      </c>
      <c r="C47">
        <f>_xlfn.XLOOKUP(A47,'Do podmianki'!A:A,'Do podmianki'!C:C,L47)</f>
        <v>0</v>
      </c>
      <c r="K47">
        <v>0</v>
      </c>
      <c r="L47">
        <v>0</v>
      </c>
    </row>
    <row r="48" spans="1:12" x14ac:dyDescent="0.25">
      <c r="A48" t="s">
        <v>413</v>
      </c>
      <c r="B48">
        <f>_xlfn.XLOOKUP(A48,'Do podmianki'!A:A,'Do podmianki'!B:B,K48)</f>
        <v>0</v>
      </c>
      <c r="C48">
        <f>_xlfn.XLOOKUP(A48,'Do podmianki'!A:A,'Do podmianki'!C:C,L48)</f>
        <v>0</v>
      </c>
      <c r="K48">
        <v>0</v>
      </c>
      <c r="L48">
        <v>0</v>
      </c>
    </row>
    <row r="49" spans="1:12" x14ac:dyDescent="0.25">
      <c r="A49" t="s">
        <v>414</v>
      </c>
      <c r="B49">
        <f>_xlfn.XLOOKUP(A49,'Do podmianki'!A:A,'Do podmianki'!B:B,K49)</f>
        <v>0</v>
      </c>
      <c r="C49">
        <f>_xlfn.XLOOKUP(A49,'Do podmianki'!A:A,'Do podmianki'!C:C,L49)</f>
        <v>0</v>
      </c>
      <c r="K49">
        <v>0</v>
      </c>
      <c r="L49">
        <v>0</v>
      </c>
    </row>
    <row r="50" spans="1:12" x14ac:dyDescent="0.25">
      <c r="A50" t="s">
        <v>415</v>
      </c>
      <c r="B50">
        <f>_xlfn.XLOOKUP(A50,'Do podmianki'!A:A,'Do podmianki'!B:B,K50)</f>
        <v>0</v>
      </c>
      <c r="C50">
        <f>_xlfn.XLOOKUP(A50,'Do podmianki'!A:A,'Do podmianki'!C:C,L50)</f>
        <v>0</v>
      </c>
      <c r="K50">
        <v>0</v>
      </c>
      <c r="L50">
        <v>0</v>
      </c>
    </row>
    <row r="51" spans="1:12" x14ac:dyDescent="0.25">
      <c r="A51" t="s">
        <v>416</v>
      </c>
      <c r="B51">
        <f>_xlfn.XLOOKUP(A51,'Do podmianki'!A:A,'Do podmianki'!B:B,K51)</f>
        <v>0</v>
      </c>
      <c r="C51">
        <f>_xlfn.XLOOKUP(A51,'Do podmianki'!A:A,'Do podmianki'!C:C,L51)</f>
        <v>0</v>
      </c>
      <c r="K51">
        <v>0</v>
      </c>
      <c r="L51">
        <v>0</v>
      </c>
    </row>
    <row r="52" spans="1:12" x14ac:dyDescent="0.25">
      <c r="A52" t="s">
        <v>417</v>
      </c>
      <c r="B52">
        <f>_xlfn.XLOOKUP(A52,'Do podmianki'!A:A,'Do podmianki'!B:B,K52)</f>
        <v>0</v>
      </c>
      <c r="C52">
        <f>_xlfn.XLOOKUP(A52,'Do podmianki'!A:A,'Do podmianki'!C:C,L52)</f>
        <v>0</v>
      </c>
      <c r="K52">
        <v>0</v>
      </c>
      <c r="L52">
        <v>0</v>
      </c>
    </row>
    <row r="53" spans="1:12" x14ac:dyDescent="0.25">
      <c r="A53" t="s">
        <v>418</v>
      </c>
      <c r="B53">
        <f>_xlfn.XLOOKUP(A53,'Do podmianki'!A:A,'Do podmianki'!B:B,K53)</f>
        <v>0</v>
      </c>
      <c r="C53">
        <f>_xlfn.XLOOKUP(A53,'Do podmianki'!A:A,'Do podmianki'!C:C,L53)</f>
        <v>0</v>
      </c>
      <c r="K53">
        <v>0</v>
      </c>
      <c r="L53">
        <v>0</v>
      </c>
    </row>
    <row r="54" spans="1:12" x14ac:dyDescent="0.25">
      <c r="A54" t="s">
        <v>419</v>
      </c>
      <c r="B54">
        <f>_xlfn.XLOOKUP(A54,'Do podmianki'!A:A,'Do podmianki'!B:B,K54)</f>
        <v>0</v>
      </c>
      <c r="C54">
        <f>_xlfn.XLOOKUP(A54,'Do podmianki'!A:A,'Do podmianki'!C:C,L54)</f>
        <v>0</v>
      </c>
      <c r="K54">
        <v>0</v>
      </c>
      <c r="L54">
        <v>0</v>
      </c>
    </row>
    <row r="55" spans="1:12" x14ac:dyDescent="0.25">
      <c r="A55" t="s">
        <v>420</v>
      </c>
      <c r="B55">
        <f>_xlfn.XLOOKUP(A55,'Do podmianki'!A:A,'Do podmianki'!B:B,K55)</f>
        <v>0</v>
      </c>
      <c r="C55">
        <f>_xlfn.XLOOKUP(A55,'Do podmianki'!A:A,'Do podmianki'!C:C,L55)</f>
        <v>0</v>
      </c>
      <c r="K55">
        <v>0</v>
      </c>
      <c r="L55">
        <v>0</v>
      </c>
    </row>
    <row r="56" spans="1:12" x14ac:dyDescent="0.25">
      <c r="A56" t="s">
        <v>421</v>
      </c>
      <c r="B56">
        <f>_xlfn.XLOOKUP(A56,'Do podmianki'!A:A,'Do podmianki'!B:B,K56)</f>
        <v>0</v>
      </c>
      <c r="C56">
        <f>_xlfn.XLOOKUP(A56,'Do podmianki'!A:A,'Do podmianki'!C:C,L56)</f>
        <v>0</v>
      </c>
      <c r="K56">
        <v>0</v>
      </c>
      <c r="L56">
        <v>0</v>
      </c>
    </row>
    <row r="57" spans="1:12" x14ac:dyDescent="0.25">
      <c r="A57" t="s">
        <v>422</v>
      </c>
      <c r="B57">
        <f>_xlfn.XLOOKUP(A57,'Do podmianki'!A:A,'Do podmianki'!B:B,K57)</f>
        <v>0</v>
      </c>
      <c r="C57">
        <f>_xlfn.XLOOKUP(A57,'Do podmianki'!A:A,'Do podmianki'!C:C,L57)</f>
        <v>0</v>
      </c>
      <c r="K57">
        <v>0</v>
      </c>
      <c r="L57">
        <v>0</v>
      </c>
    </row>
    <row r="58" spans="1:12" x14ac:dyDescent="0.25">
      <c r="A58" t="s">
        <v>423</v>
      </c>
      <c r="B58">
        <f>_xlfn.XLOOKUP(A58,'Do podmianki'!A:A,'Do podmianki'!B:B,K58)</f>
        <v>0</v>
      </c>
      <c r="C58">
        <f>_xlfn.XLOOKUP(A58,'Do podmianki'!A:A,'Do podmianki'!C:C,L58)</f>
        <v>0</v>
      </c>
      <c r="K58">
        <v>0</v>
      </c>
      <c r="L58">
        <v>0</v>
      </c>
    </row>
    <row r="59" spans="1:12" x14ac:dyDescent="0.25">
      <c r="A59" t="s">
        <v>424</v>
      </c>
      <c r="B59">
        <f>_xlfn.XLOOKUP(A59,'Do podmianki'!A:A,'Do podmianki'!B:B,K59)</f>
        <v>0</v>
      </c>
      <c r="C59">
        <f>_xlfn.XLOOKUP(A59,'Do podmianki'!A:A,'Do podmianki'!C:C,L59)</f>
        <v>0</v>
      </c>
      <c r="K59">
        <v>0</v>
      </c>
      <c r="L59">
        <v>0</v>
      </c>
    </row>
    <row r="60" spans="1:12" x14ac:dyDescent="0.25">
      <c r="A60" t="s">
        <v>425</v>
      </c>
      <c r="B60">
        <f>_xlfn.XLOOKUP(A60,'Do podmianki'!A:A,'Do podmianki'!B:B,K60)</f>
        <v>0</v>
      </c>
      <c r="C60">
        <f>_xlfn.XLOOKUP(A60,'Do podmianki'!A:A,'Do podmianki'!C:C,L60)</f>
        <v>0</v>
      </c>
      <c r="K60">
        <v>0</v>
      </c>
      <c r="L60">
        <v>0</v>
      </c>
    </row>
    <row r="61" spans="1:12" x14ac:dyDescent="0.25">
      <c r="A61" t="s">
        <v>426</v>
      </c>
      <c r="B61">
        <f>_xlfn.XLOOKUP(A61,'Do podmianki'!A:A,'Do podmianki'!B:B,K61)</f>
        <v>0</v>
      </c>
      <c r="C61">
        <f>_xlfn.XLOOKUP(A61,'Do podmianki'!A:A,'Do podmianki'!C:C,L61)</f>
        <v>0</v>
      </c>
      <c r="K61">
        <v>0</v>
      </c>
      <c r="L61">
        <v>0</v>
      </c>
    </row>
    <row r="62" spans="1:12" x14ac:dyDescent="0.25">
      <c r="A62" t="s">
        <v>427</v>
      </c>
      <c r="B62">
        <f>_xlfn.XLOOKUP(A62,'Do podmianki'!A:A,'Do podmianki'!B:B,K62)</f>
        <v>0</v>
      </c>
      <c r="C62">
        <f>_xlfn.XLOOKUP(A62,'Do podmianki'!A:A,'Do podmianki'!C:C,L62)</f>
        <v>0</v>
      </c>
      <c r="K62">
        <v>0</v>
      </c>
      <c r="L62">
        <v>0</v>
      </c>
    </row>
    <row r="63" spans="1:12" x14ac:dyDescent="0.25">
      <c r="A63" t="s">
        <v>428</v>
      </c>
      <c r="B63">
        <f>_xlfn.XLOOKUP(A63,'Do podmianki'!A:A,'Do podmianki'!B:B,K63)</f>
        <v>0</v>
      </c>
      <c r="C63">
        <f>_xlfn.XLOOKUP(A63,'Do podmianki'!A:A,'Do podmianki'!C:C,L63)</f>
        <v>0</v>
      </c>
      <c r="K63">
        <v>0</v>
      </c>
      <c r="L63">
        <v>0</v>
      </c>
    </row>
    <row r="64" spans="1:12" x14ac:dyDescent="0.25">
      <c r="A64" t="s">
        <v>429</v>
      </c>
      <c r="B64">
        <f>_xlfn.XLOOKUP(A64,'Do podmianki'!A:A,'Do podmianki'!B:B,K64)</f>
        <v>0</v>
      </c>
      <c r="C64">
        <f>_xlfn.XLOOKUP(A64,'Do podmianki'!A:A,'Do podmianki'!C:C,L64)</f>
        <v>0</v>
      </c>
      <c r="K64">
        <v>0</v>
      </c>
      <c r="L64">
        <v>0</v>
      </c>
    </row>
    <row r="65" spans="1:12" x14ac:dyDescent="0.25">
      <c r="A65" t="s">
        <v>430</v>
      </c>
      <c r="B65">
        <f>_xlfn.XLOOKUP(A65,'Do podmianki'!A:A,'Do podmianki'!B:B,K65)</f>
        <v>0</v>
      </c>
      <c r="C65">
        <f>_xlfn.XLOOKUP(A65,'Do podmianki'!A:A,'Do podmianki'!C:C,L65)</f>
        <v>0</v>
      </c>
      <c r="K65">
        <v>0</v>
      </c>
      <c r="L65">
        <v>0</v>
      </c>
    </row>
    <row r="66" spans="1:12" x14ac:dyDescent="0.25">
      <c r="A66" t="s">
        <v>431</v>
      </c>
      <c r="B66">
        <f>_xlfn.XLOOKUP(A66,'Do podmianki'!A:A,'Do podmianki'!B:B,K66)</f>
        <v>0</v>
      </c>
      <c r="C66">
        <f>_xlfn.XLOOKUP(A66,'Do podmianki'!A:A,'Do podmianki'!C:C,L66)</f>
        <v>0</v>
      </c>
      <c r="K66">
        <v>0</v>
      </c>
      <c r="L66">
        <v>0</v>
      </c>
    </row>
    <row r="67" spans="1:12" x14ac:dyDescent="0.25">
      <c r="A67" t="s">
        <v>432</v>
      </c>
      <c r="B67">
        <f>_xlfn.XLOOKUP(A67,'Do podmianki'!A:A,'Do podmianki'!B:B,K67)</f>
        <v>0</v>
      </c>
      <c r="C67">
        <f>_xlfn.XLOOKUP(A67,'Do podmianki'!A:A,'Do podmianki'!C:C,L67)</f>
        <v>0</v>
      </c>
      <c r="K67">
        <v>0</v>
      </c>
      <c r="L67">
        <v>0</v>
      </c>
    </row>
    <row r="68" spans="1:12" x14ac:dyDescent="0.25">
      <c r="A68" t="s">
        <v>433</v>
      </c>
      <c r="B68">
        <f>_xlfn.XLOOKUP(A68,'Do podmianki'!A:A,'Do podmianki'!B:B,K68)</f>
        <v>0</v>
      </c>
      <c r="C68">
        <f>_xlfn.XLOOKUP(A68,'Do podmianki'!A:A,'Do podmianki'!C:C,L68)</f>
        <v>0</v>
      </c>
      <c r="K68">
        <v>0</v>
      </c>
      <c r="L68">
        <v>0</v>
      </c>
    </row>
    <row r="69" spans="1:12" x14ac:dyDescent="0.25">
      <c r="A69" t="s">
        <v>434</v>
      </c>
      <c r="B69">
        <f>_xlfn.XLOOKUP(A69,'Do podmianki'!A:A,'Do podmianki'!B:B,K69)</f>
        <v>0</v>
      </c>
      <c r="C69">
        <f>_xlfn.XLOOKUP(A69,'Do podmianki'!A:A,'Do podmianki'!C:C,L69)</f>
        <v>0</v>
      </c>
      <c r="K69">
        <v>0</v>
      </c>
      <c r="L69">
        <v>0</v>
      </c>
    </row>
    <row r="70" spans="1:12" x14ac:dyDescent="0.25">
      <c r="A70" t="s">
        <v>435</v>
      </c>
      <c r="B70">
        <f>_xlfn.XLOOKUP(A70,'Do podmianki'!A:A,'Do podmianki'!B:B,K70)</f>
        <v>0</v>
      </c>
      <c r="C70">
        <f>_xlfn.XLOOKUP(A70,'Do podmianki'!A:A,'Do podmianki'!C:C,L70)</f>
        <v>0</v>
      </c>
      <c r="K70">
        <v>0</v>
      </c>
      <c r="L70">
        <v>0</v>
      </c>
    </row>
    <row r="71" spans="1:12" x14ac:dyDescent="0.25">
      <c r="A71" t="s">
        <v>436</v>
      </c>
      <c r="B71">
        <f>_xlfn.XLOOKUP(A71,'Do podmianki'!A:A,'Do podmianki'!B:B,K71)</f>
        <v>0</v>
      </c>
      <c r="C71">
        <f>_xlfn.XLOOKUP(A71,'Do podmianki'!A:A,'Do podmianki'!C:C,L71)</f>
        <v>0</v>
      </c>
      <c r="K71">
        <v>0</v>
      </c>
      <c r="L71">
        <v>0</v>
      </c>
    </row>
    <row r="72" spans="1:12" x14ac:dyDescent="0.25">
      <c r="A72" t="s">
        <v>437</v>
      </c>
      <c r="B72">
        <f>_xlfn.XLOOKUP(A72,'Do podmianki'!A:A,'Do podmianki'!B:B,K72)</f>
        <v>0</v>
      </c>
      <c r="C72">
        <f>_xlfn.XLOOKUP(A72,'Do podmianki'!A:A,'Do podmianki'!C:C,L72)</f>
        <v>0</v>
      </c>
      <c r="K72">
        <v>0</v>
      </c>
      <c r="L72">
        <v>0</v>
      </c>
    </row>
    <row r="73" spans="1:12" x14ac:dyDescent="0.25">
      <c r="A73" t="s">
        <v>438</v>
      </c>
      <c r="B73">
        <f>_xlfn.XLOOKUP(A73,'Do podmianki'!A:A,'Do podmianki'!B:B,K73)</f>
        <v>0</v>
      </c>
      <c r="C73">
        <f>_xlfn.XLOOKUP(A73,'Do podmianki'!A:A,'Do podmianki'!C:C,L73)</f>
        <v>0</v>
      </c>
      <c r="K73">
        <v>0</v>
      </c>
      <c r="L73">
        <v>0</v>
      </c>
    </row>
    <row r="74" spans="1:12" x14ac:dyDescent="0.25">
      <c r="A74" t="s">
        <v>439</v>
      </c>
      <c r="B74">
        <f>_xlfn.XLOOKUP(A74,'Do podmianki'!A:A,'Do podmianki'!B:B,K74)</f>
        <v>0</v>
      </c>
      <c r="C74">
        <f>_xlfn.XLOOKUP(A74,'Do podmianki'!A:A,'Do podmianki'!C:C,L74)</f>
        <v>0</v>
      </c>
      <c r="K74">
        <v>0</v>
      </c>
      <c r="L74">
        <v>0</v>
      </c>
    </row>
    <row r="75" spans="1:12" x14ac:dyDescent="0.25">
      <c r="A75" t="s">
        <v>440</v>
      </c>
      <c r="B75">
        <f>_xlfn.XLOOKUP(A75,'Do podmianki'!A:A,'Do podmianki'!B:B,K75)</f>
        <v>0</v>
      </c>
      <c r="C75">
        <f>_xlfn.XLOOKUP(A75,'Do podmianki'!A:A,'Do podmianki'!C:C,L75)</f>
        <v>0</v>
      </c>
      <c r="K75">
        <v>0</v>
      </c>
      <c r="L75">
        <v>0</v>
      </c>
    </row>
    <row r="76" spans="1:12" x14ac:dyDescent="0.25">
      <c r="A76" t="s">
        <v>441</v>
      </c>
      <c r="B76">
        <f>_xlfn.XLOOKUP(A76,'Do podmianki'!A:A,'Do podmianki'!B:B,K76)</f>
        <v>0</v>
      </c>
      <c r="C76">
        <f>_xlfn.XLOOKUP(A76,'Do podmianki'!A:A,'Do podmianki'!C:C,L76)</f>
        <v>0</v>
      </c>
      <c r="K76">
        <v>0</v>
      </c>
      <c r="L76">
        <v>0</v>
      </c>
    </row>
    <row r="77" spans="1:12" x14ac:dyDescent="0.25">
      <c r="A77" t="s">
        <v>442</v>
      </c>
      <c r="B77">
        <f>_xlfn.XLOOKUP(A77,'Do podmianki'!A:A,'Do podmianki'!B:B,K77)</f>
        <v>0</v>
      </c>
      <c r="C77">
        <f>_xlfn.XLOOKUP(A77,'Do podmianki'!A:A,'Do podmianki'!C:C,L77)</f>
        <v>0</v>
      </c>
      <c r="K77">
        <v>0</v>
      </c>
      <c r="L77">
        <v>0</v>
      </c>
    </row>
    <row r="78" spans="1:12" x14ac:dyDescent="0.25">
      <c r="A78" t="s">
        <v>443</v>
      </c>
      <c r="B78">
        <f>_xlfn.XLOOKUP(A78,'Do podmianki'!A:A,'Do podmianki'!B:B,K78)</f>
        <v>0</v>
      </c>
      <c r="C78">
        <f>_xlfn.XLOOKUP(A78,'Do podmianki'!A:A,'Do podmianki'!C:C,L78)</f>
        <v>0</v>
      </c>
      <c r="K78">
        <v>0</v>
      </c>
      <c r="L78">
        <v>0</v>
      </c>
    </row>
    <row r="79" spans="1:12" x14ac:dyDescent="0.25">
      <c r="A79" t="s">
        <v>444</v>
      </c>
      <c r="B79">
        <f>_xlfn.XLOOKUP(A79,'Do podmianki'!A:A,'Do podmianki'!B:B,K79)</f>
        <v>0</v>
      </c>
      <c r="C79">
        <f>_xlfn.XLOOKUP(A79,'Do podmianki'!A:A,'Do podmianki'!C:C,L79)</f>
        <v>0</v>
      </c>
      <c r="K79">
        <v>0</v>
      </c>
      <c r="L79">
        <v>0</v>
      </c>
    </row>
    <row r="80" spans="1:12" x14ac:dyDescent="0.25">
      <c r="A80" t="s">
        <v>445</v>
      </c>
      <c r="B80">
        <f>_xlfn.XLOOKUP(A80,'Do podmianki'!A:A,'Do podmianki'!B:B,K80)</f>
        <v>0</v>
      </c>
      <c r="C80">
        <f>_xlfn.XLOOKUP(A80,'Do podmianki'!A:A,'Do podmianki'!C:C,L80)</f>
        <v>0</v>
      </c>
      <c r="K80">
        <v>0</v>
      </c>
      <c r="L80">
        <v>0</v>
      </c>
    </row>
    <row r="81" spans="1:12" x14ac:dyDescent="0.25">
      <c r="A81" t="s">
        <v>446</v>
      </c>
      <c r="B81">
        <f>_xlfn.XLOOKUP(A81,'Do podmianki'!A:A,'Do podmianki'!B:B,K81)</f>
        <v>0</v>
      </c>
      <c r="C81">
        <f>_xlfn.XLOOKUP(A81,'Do podmianki'!A:A,'Do podmianki'!C:C,L81)</f>
        <v>0</v>
      </c>
      <c r="K81">
        <v>0</v>
      </c>
      <c r="L81">
        <v>0</v>
      </c>
    </row>
    <row r="82" spans="1:12" x14ac:dyDescent="0.25">
      <c r="A82" t="s">
        <v>447</v>
      </c>
      <c r="B82">
        <f>_xlfn.XLOOKUP(A82,'Do podmianki'!A:A,'Do podmianki'!B:B,K82)</f>
        <v>0</v>
      </c>
      <c r="C82">
        <f>_xlfn.XLOOKUP(A82,'Do podmianki'!A:A,'Do podmianki'!C:C,L82)</f>
        <v>0</v>
      </c>
      <c r="K82">
        <v>0</v>
      </c>
      <c r="L82">
        <v>0</v>
      </c>
    </row>
    <row r="83" spans="1:12" x14ac:dyDescent="0.25">
      <c r="A83" t="s">
        <v>448</v>
      </c>
      <c r="B83">
        <f>_xlfn.XLOOKUP(A83,'Do podmianki'!A:A,'Do podmianki'!B:B,K83)</f>
        <v>0</v>
      </c>
      <c r="C83">
        <f>_xlfn.XLOOKUP(A83,'Do podmianki'!A:A,'Do podmianki'!C:C,L83)</f>
        <v>0</v>
      </c>
      <c r="K83">
        <v>0</v>
      </c>
      <c r="L83">
        <v>0</v>
      </c>
    </row>
    <row r="84" spans="1:12" x14ac:dyDescent="0.25">
      <c r="A84" t="s">
        <v>449</v>
      </c>
      <c r="B84">
        <f>_xlfn.XLOOKUP(A84,'Do podmianki'!A:A,'Do podmianki'!B:B,K84)</f>
        <v>0</v>
      </c>
      <c r="C84">
        <f>_xlfn.XLOOKUP(A84,'Do podmianki'!A:A,'Do podmianki'!C:C,L84)</f>
        <v>0</v>
      </c>
      <c r="K84">
        <v>0</v>
      </c>
      <c r="L84">
        <v>0</v>
      </c>
    </row>
    <row r="85" spans="1:12" x14ac:dyDescent="0.25">
      <c r="A85" t="s">
        <v>450</v>
      </c>
      <c r="B85">
        <f>_xlfn.XLOOKUP(A85,'Do podmianki'!A:A,'Do podmianki'!B:B,K85)</f>
        <v>0</v>
      </c>
      <c r="C85">
        <f>_xlfn.XLOOKUP(A85,'Do podmianki'!A:A,'Do podmianki'!C:C,L85)</f>
        <v>0</v>
      </c>
      <c r="K85">
        <v>0</v>
      </c>
      <c r="L85">
        <v>0</v>
      </c>
    </row>
    <row r="86" spans="1:12" x14ac:dyDescent="0.25">
      <c r="A86" t="s">
        <v>451</v>
      </c>
      <c r="B86">
        <f>_xlfn.XLOOKUP(A86,'Do podmianki'!A:A,'Do podmianki'!B:B,K86)</f>
        <v>0</v>
      </c>
      <c r="C86">
        <f>_xlfn.XLOOKUP(A86,'Do podmianki'!A:A,'Do podmianki'!C:C,L86)</f>
        <v>0</v>
      </c>
      <c r="K86">
        <v>0</v>
      </c>
      <c r="L86">
        <v>0</v>
      </c>
    </row>
    <row r="87" spans="1:12" x14ac:dyDescent="0.25">
      <c r="A87" t="s">
        <v>452</v>
      </c>
      <c r="B87">
        <f>_xlfn.XLOOKUP(A87,'Do podmianki'!A:A,'Do podmianki'!B:B,K87)</f>
        <v>0</v>
      </c>
      <c r="C87">
        <f>_xlfn.XLOOKUP(A87,'Do podmianki'!A:A,'Do podmianki'!C:C,L87)</f>
        <v>0</v>
      </c>
      <c r="K87">
        <v>0</v>
      </c>
      <c r="L87">
        <v>0</v>
      </c>
    </row>
    <row r="88" spans="1:12" x14ac:dyDescent="0.25">
      <c r="A88" t="s">
        <v>453</v>
      </c>
      <c r="B88">
        <f>_xlfn.XLOOKUP(A88,'Do podmianki'!A:A,'Do podmianki'!B:B,K88)</f>
        <v>0</v>
      </c>
      <c r="C88">
        <f>_xlfn.XLOOKUP(A88,'Do podmianki'!A:A,'Do podmianki'!C:C,L88)</f>
        <v>0</v>
      </c>
      <c r="K88">
        <v>0</v>
      </c>
      <c r="L88">
        <v>0</v>
      </c>
    </row>
    <row r="89" spans="1:12" x14ac:dyDescent="0.25">
      <c r="A89" t="s">
        <v>454</v>
      </c>
      <c r="B89">
        <f>_xlfn.XLOOKUP(A89,'Do podmianki'!A:A,'Do podmianki'!B:B,K89)</f>
        <v>0</v>
      </c>
      <c r="C89">
        <f>_xlfn.XLOOKUP(A89,'Do podmianki'!A:A,'Do podmianki'!C:C,L89)</f>
        <v>0</v>
      </c>
      <c r="K89">
        <v>0</v>
      </c>
      <c r="L89">
        <v>0</v>
      </c>
    </row>
    <row r="90" spans="1:12" x14ac:dyDescent="0.25">
      <c r="A90" t="s">
        <v>455</v>
      </c>
      <c r="B90">
        <f>_xlfn.XLOOKUP(A90,'Do podmianki'!A:A,'Do podmianki'!B:B,K90)</f>
        <v>0</v>
      </c>
      <c r="C90">
        <f>_xlfn.XLOOKUP(A90,'Do podmianki'!A:A,'Do podmianki'!C:C,L90)</f>
        <v>0</v>
      </c>
      <c r="K90">
        <v>0</v>
      </c>
      <c r="L90">
        <v>0</v>
      </c>
    </row>
    <row r="91" spans="1:12" x14ac:dyDescent="0.25">
      <c r="A91" t="s">
        <v>456</v>
      </c>
      <c r="B91">
        <f>_xlfn.XLOOKUP(A91,'Do podmianki'!A:A,'Do podmianki'!B:B,K91)</f>
        <v>0</v>
      </c>
      <c r="C91">
        <f>_xlfn.XLOOKUP(A91,'Do podmianki'!A:A,'Do podmianki'!C:C,L91)</f>
        <v>0</v>
      </c>
      <c r="K91">
        <v>0</v>
      </c>
      <c r="L91">
        <v>0</v>
      </c>
    </row>
    <row r="92" spans="1:12" x14ac:dyDescent="0.25">
      <c r="A92" t="s">
        <v>457</v>
      </c>
      <c r="B92">
        <f>_xlfn.XLOOKUP(A92,'Do podmianki'!A:A,'Do podmianki'!B:B,K92)</f>
        <v>0</v>
      </c>
      <c r="C92">
        <f>_xlfn.XLOOKUP(A92,'Do podmianki'!A:A,'Do podmianki'!C:C,L92)</f>
        <v>0</v>
      </c>
      <c r="K92">
        <v>0</v>
      </c>
      <c r="L92">
        <v>0</v>
      </c>
    </row>
    <row r="93" spans="1:12" x14ac:dyDescent="0.25">
      <c r="A93" t="s">
        <v>458</v>
      </c>
      <c r="B93">
        <f>_xlfn.XLOOKUP(A93,'Do podmianki'!A:A,'Do podmianki'!B:B,K93)</f>
        <v>0</v>
      </c>
      <c r="C93">
        <f>_xlfn.XLOOKUP(A93,'Do podmianki'!A:A,'Do podmianki'!C:C,L93)</f>
        <v>0</v>
      </c>
      <c r="K93">
        <v>0</v>
      </c>
      <c r="L93">
        <v>0</v>
      </c>
    </row>
    <row r="94" spans="1:12" x14ac:dyDescent="0.25">
      <c r="A94" t="s">
        <v>459</v>
      </c>
      <c r="B94">
        <f>_xlfn.XLOOKUP(A94,'Do podmianki'!A:A,'Do podmianki'!B:B,K94)</f>
        <v>0</v>
      </c>
      <c r="C94">
        <f>_xlfn.XLOOKUP(A94,'Do podmianki'!A:A,'Do podmianki'!C:C,L94)</f>
        <v>0</v>
      </c>
      <c r="K94">
        <v>0</v>
      </c>
      <c r="L94">
        <v>0</v>
      </c>
    </row>
    <row r="95" spans="1:12" x14ac:dyDescent="0.25">
      <c r="A95" t="s">
        <v>460</v>
      </c>
      <c r="B95">
        <f>_xlfn.XLOOKUP(A95,'Do podmianki'!A:A,'Do podmianki'!B:B,K95)</f>
        <v>0</v>
      </c>
      <c r="C95">
        <f>_xlfn.XLOOKUP(A95,'Do podmianki'!A:A,'Do podmianki'!C:C,L95)</f>
        <v>0</v>
      </c>
      <c r="K95">
        <v>0</v>
      </c>
      <c r="L95">
        <v>0</v>
      </c>
    </row>
    <row r="96" spans="1:12" x14ac:dyDescent="0.25">
      <c r="A96" t="s">
        <v>461</v>
      </c>
      <c r="B96">
        <f>_xlfn.XLOOKUP(A96,'Do podmianki'!A:A,'Do podmianki'!B:B,K96)</f>
        <v>0</v>
      </c>
      <c r="C96">
        <f>_xlfn.XLOOKUP(A96,'Do podmianki'!A:A,'Do podmianki'!C:C,L96)</f>
        <v>0</v>
      </c>
      <c r="K96">
        <v>0</v>
      </c>
      <c r="L96">
        <v>0</v>
      </c>
    </row>
    <row r="97" spans="1:12" x14ac:dyDescent="0.25">
      <c r="A97" t="s">
        <v>462</v>
      </c>
      <c r="B97">
        <f>_xlfn.XLOOKUP(A97,'Do podmianki'!A:A,'Do podmianki'!B:B,K97)</f>
        <v>0</v>
      </c>
      <c r="C97">
        <f>_xlfn.XLOOKUP(A97,'Do podmianki'!A:A,'Do podmianki'!C:C,L97)</f>
        <v>0</v>
      </c>
      <c r="K97">
        <v>0</v>
      </c>
      <c r="L97">
        <v>0</v>
      </c>
    </row>
    <row r="98" spans="1:12" x14ac:dyDescent="0.25">
      <c r="A98" t="s">
        <v>463</v>
      </c>
      <c r="B98">
        <f>_xlfn.XLOOKUP(A98,'Do podmianki'!A:A,'Do podmianki'!B:B,K98)</f>
        <v>0</v>
      </c>
      <c r="C98">
        <f>_xlfn.XLOOKUP(A98,'Do podmianki'!A:A,'Do podmianki'!C:C,L98)</f>
        <v>0</v>
      </c>
      <c r="K98">
        <v>0</v>
      </c>
      <c r="L98">
        <v>0</v>
      </c>
    </row>
    <row r="99" spans="1:12" x14ac:dyDescent="0.25">
      <c r="A99" t="s">
        <v>464</v>
      </c>
      <c r="B99">
        <f>_xlfn.XLOOKUP(A99,'Do podmianki'!A:A,'Do podmianki'!B:B,K99)</f>
        <v>0</v>
      </c>
      <c r="C99">
        <f>_xlfn.XLOOKUP(A99,'Do podmianki'!A:A,'Do podmianki'!C:C,L99)</f>
        <v>0</v>
      </c>
      <c r="K99">
        <v>0</v>
      </c>
      <c r="L99">
        <v>0</v>
      </c>
    </row>
    <row r="100" spans="1:12" x14ac:dyDescent="0.25">
      <c r="A100" t="s">
        <v>465</v>
      </c>
      <c r="B100">
        <f>_xlfn.XLOOKUP(A100,'Do podmianki'!A:A,'Do podmianki'!B:B,K100)</f>
        <v>0</v>
      </c>
      <c r="C100">
        <f>_xlfn.XLOOKUP(A100,'Do podmianki'!A:A,'Do podmianki'!C:C,L100)</f>
        <v>0</v>
      </c>
      <c r="K100">
        <v>0</v>
      </c>
      <c r="L100">
        <v>0</v>
      </c>
    </row>
    <row r="101" spans="1:12" x14ac:dyDescent="0.25">
      <c r="A101" t="s">
        <v>466</v>
      </c>
      <c r="B101">
        <f>_xlfn.XLOOKUP(A101,'Do podmianki'!A:A,'Do podmianki'!B:B,K101)</f>
        <v>0</v>
      </c>
      <c r="C101">
        <f>_xlfn.XLOOKUP(A101,'Do podmianki'!A:A,'Do podmianki'!C:C,L101)</f>
        <v>0</v>
      </c>
      <c r="K101">
        <v>0</v>
      </c>
      <c r="L101">
        <v>0</v>
      </c>
    </row>
    <row r="102" spans="1:12" x14ac:dyDescent="0.25">
      <c r="A102" t="s">
        <v>467</v>
      </c>
      <c r="B102">
        <f>_xlfn.XLOOKUP(A102,'Do podmianki'!A:A,'Do podmianki'!B:B,K102)</f>
        <v>0</v>
      </c>
      <c r="C102">
        <f>_xlfn.XLOOKUP(A102,'Do podmianki'!A:A,'Do podmianki'!C:C,L102)</f>
        <v>0</v>
      </c>
      <c r="K102">
        <v>0</v>
      </c>
      <c r="L102">
        <v>0</v>
      </c>
    </row>
    <row r="103" spans="1:12" x14ac:dyDescent="0.25">
      <c r="A103" t="s">
        <v>468</v>
      </c>
      <c r="B103">
        <f>_xlfn.XLOOKUP(A103,'Do podmianki'!A:A,'Do podmianki'!B:B,K103)</f>
        <v>0</v>
      </c>
      <c r="C103">
        <f>_xlfn.XLOOKUP(A103,'Do podmianki'!A:A,'Do podmianki'!C:C,L103)</f>
        <v>0</v>
      </c>
      <c r="K103">
        <v>0</v>
      </c>
      <c r="L103">
        <v>0</v>
      </c>
    </row>
    <row r="104" spans="1:12" x14ac:dyDescent="0.25">
      <c r="A104" t="s">
        <v>469</v>
      </c>
      <c r="B104">
        <f>_xlfn.XLOOKUP(A104,'Do podmianki'!A:A,'Do podmianki'!B:B,K104)</f>
        <v>0</v>
      </c>
      <c r="C104">
        <f>_xlfn.XLOOKUP(A104,'Do podmianki'!A:A,'Do podmianki'!C:C,L104)</f>
        <v>0</v>
      </c>
      <c r="K104">
        <v>0</v>
      </c>
      <c r="L104">
        <v>0</v>
      </c>
    </row>
    <row r="105" spans="1:12" x14ac:dyDescent="0.25">
      <c r="A105" t="s">
        <v>470</v>
      </c>
      <c r="B105">
        <f>_xlfn.XLOOKUP(A105,'Do podmianki'!A:A,'Do podmianki'!B:B,K105)</f>
        <v>0</v>
      </c>
      <c r="C105">
        <f>_xlfn.XLOOKUP(A105,'Do podmianki'!A:A,'Do podmianki'!C:C,L105)</f>
        <v>0</v>
      </c>
      <c r="K105">
        <v>0</v>
      </c>
      <c r="L105">
        <v>0</v>
      </c>
    </row>
    <row r="106" spans="1:12" x14ac:dyDescent="0.25">
      <c r="A106" t="s">
        <v>471</v>
      </c>
      <c r="B106">
        <f>_xlfn.XLOOKUP(A106,'Do podmianki'!A:A,'Do podmianki'!B:B,K106)</f>
        <v>0</v>
      </c>
      <c r="C106">
        <f>_xlfn.XLOOKUP(A106,'Do podmianki'!A:A,'Do podmianki'!C:C,L106)</f>
        <v>0</v>
      </c>
      <c r="K106">
        <v>0</v>
      </c>
      <c r="L106">
        <v>0</v>
      </c>
    </row>
    <row r="107" spans="1:12" x14ac:dyDescent="0.25">
      <c r="A107" t="s">
        <v>472</v>
      </c>
      <c r="B107">
        <f>_xlfn.XLOOKUP(A107,'Do podmianki'!A:A,'Do podmianki'!B:B,K107)</f>
        <v>0</v>
      </c>
      <c r="C107">
        <f>_xlfn.XLOOKUP(A107,'Do podmianki'!A:A,'Do podmianki'!C:C,L107)</f>
        <v>0</v>
      </c>
      <c r="K107">
        <v>0</v>
      </c>
      <c r="L107">
        <v>0</v>
      </c>
    </row>
    <row r="108" spans="1:12" x14ac:dyDescent="0.25">
      <c r="A108" t="s">
        <v>473</v>
      </c>
      <c r="B108">
        <f>_xlfn.XLOOKUP(A108,'Do podmianki'!A:A,'Do podmianki'!B:B,K108)</f>
        <v>0</v>
      </c>
      <c r="C108">
        <f>_xlfn.XLOOKUP(A108,'Do podmianki'!A:A,'Do podmianki'!C:C,L108)</f>
        <v>0</v>
      </c>
      <c r="K108">
        <v>0</v>
      </c>
      <c r="L108">
        <v>0</v>
      </c>
    </row>
    <row r="109" spans="1:12" x14ac:dyDescent="0.25">
      <c r="A109" t="s">
        <v>474</v>
      </c>
      <c r="B109">
        <f>_xlfn.XLOOKUP(A109,'Do podmianki'!A:A,'Do podmianki'!B:B,K109)</f>
        <v>0</v>
      </c>
      <c r="C109">
        <f>_xlfn.XLOOKUP(A109,'Do podmianki'!A:A,'Do podmianki'!C:C,L109)</f>
        <v>0</v>
      </c>
      <c r="K109">
        <v>0</v>
      </c>
      <c r="L109">
        <v>0</v>
      </c>
    </row>
    <row r="110" spans="1:12" x14ac:dyDescent="0.25">
      <c r="A110" t="s">
        <v>475</v>
      </c>
      <c r="B110">
        <f>_xlfn.XLOOKUP(A110,'Do podmianki'!A:A,'Do podmianki'!B:B,K110)</f>
        <v>0</v>
      </c>
      <c r="C110">
        <f>_xlfn.XLOOKUP(A110,'Do podmianki'!A:A,'Do podmianki'!C:C,L110)</f>
        <v>0</v>
      </c>
      <c r="K110">
        <v>0</v>
      </c>
      <c r="L110">
        <v>0</v>
      </c>
    </row>
    <row r="111" spans="1:12" x14ac:dyDescent="0.25">
      <c r="A111" t="s">
        <v>476</v>
      </c>
      <c r="B111">
        <f>_xlfn.XLOOKUP(A111,'Do podmianki'!A:A,'Do podmianki'!B:B,K111)</f>
        <v>89.443676320085473</v>
      </c>
      <c r="C111">
        <f>_xlfn.XLOOKUP(A111,'Do podmianki'!A:A,'Do podmianki'!C:C,L111)</f>
        <v>0</v>
      </c>
      <c r="K111">
        <v>0</v>
      </c>
      <c r="L111">
        <v>0</v>
      </c>
    </row>
    <row r="112" spans="1:12" x14ac:dyDescent="0.25">
      <c r="A112" t="s">
        <v>477</v>
      </c>
      <c r="B112">
        <f>_xlfn.XLOOKUP(A112,'Do podmianki'!A:A,'Do podmianki'!B:B,K112)</f>
        <v>0</v>
      </c>
      <c r="C112">
        <f>_xlfn.XLOOKUP(A112,'Do podmianki'!A:A,'Do podmianki'!C:C,L112)</f>
        <v>0</v>
      </c>
      <c r="K112">
        <v>0</v>
      </c>
      <c r="L112">
        <v>0</v>
      </c>
    </row>
    <row r="113" spans="1:12" x14ac:dyDescent="0.25">
      <c r="A113" t="s">
        <v>478</v>
      </c>
      <c r="B113">
        <f>_xlfn.XLOOKUP(A113,'Do podmianki'!A:A,'Do podmianki'!B:B,K113)</f>
        <v>0</v>
      </c>
      <c r="C113">
        <f>_xlfn.XLOOKUP(A113,'Do podmianki'!A:A,'Do podmianki'!C:C,L113)</f>
        <v>0</v>
      </c>
      <c r="K113">
        <v>0</v>
      </c>
      <c r="L113">
        <v>0</v>
      </c>
    </row>
    <row r="114" spans="1:12" x14ac:dyDescent="0.25">
      <c r="A114" t="s">
        <v>479</v>
      </c>
      <c r="B114">
        <f>_xlfn.XLOOKUP(A114,'Do podmianki'!A:A,'Do podmianki'!B:B,K114)</f>
        <v>78.934043739158454</v>
      </c>
      <c r="C114">
        <f>_xlfn.XLOOKUP(A114,'Do podmianki'!A:A,'Do podmianki'!C:C,L114)</f>
        <v>0</v>
      </c>
      <c r="K114">
        <v>0</v>
      </c>
      <c r="L114">
        <v>0</v>
      </c>
    </row>
    <row r="115" spans="1:12" x14ac:dyDescent="0.25">
      <c r="A115" t="s">
        <v>695</v>
      </c>
      <c r="B115">
        <f>_xlfn.XLOOKUP(A115,'Do podmianki'!A:A,'Do podmianki'!B:B,K115)</f>
        <v>0</v>
      </c>
      <c r="C115">
        <f>_xlfn.XLOOKUP(A115,'Do podmianki'!A:A,'Do podmianki'!C:C,L115)</f>
        <v>0</v>
      </c>
      <c r="K115">
        <v>0</v>
      </c>
      <c r="L115">
        <v>0</v>
      </c>
    </row>
    <row r="116" spans="1:12" x14ac:dyDescent="0.25">
      <c r="A116" t="s">
        <v>480</v>
      </c>
      <c r="B116">
        <f>_xlfn.XLOOKUP(A116,'Do podmianki'!A:A,'Do podmianki'!B:B,K116)</f>
        <v>0</v>
      </c>
      <c r="C116">
        <f>_xlfn.XLOOKUP(A116,'Do podmianki'!A:A,'Do podmianki'!C:C,L116)</f>
        <v>0</v>
      </c>
      <c r="K116">
        <v>0</v>
      </c>
      <c r="L116">
        <v>0</v>
      </c>
    </row>
    <row r="117" spans="1:12" x14ac:dyDescent="0.25">
      <c r="A117" t="s">
        <v>481</v>
      </c>
      <c r="B117">
        <f>_xlfn.XLOOKUP(A117,'Do podmianki'!A:A,'Do podmianki'!B:B,K117)</f>
        <v>0</v>
      </c>
      <c r="C117">
        <f>_xlfn.XLOOKUP(A117,'Do podmianki'!A:A,'Do podmianki'!C:C,L117)</f>
        <v>0</v>
      </c>
      <c r="K117">
        <v>0</v>
      </c>
      <c r="L117">
        <v>0</v>
      </c>
    </row>
    <row r="118" spans="1:12" x14ac:dyDescent="0.25">
      <c r="A118" t="s">
        <v>482</v>
      </c>
      <c r="B118">
        <f>_xlfn.XLOOKUP(A118,'Do podmianki'!A:A,'Do podmianki'!B:B,K118)</f>
        <v>0</v>
      </c>
      <c r="C118">
        <f>_xlfn.XLOOKUP(A118,'Do podmianki'!A:A,'Do podmianki'!C:C,L118)</f>
        <v>0</v>
      </c>
      <c r="K118">
        <v>0</v>
      </c>
      <c r="L118">
        <v>0</v>
      </c>
    </row>
    <row r="119" spans="1:12" x14ac:dyDescent="0.25">
      <c r="A119" t="s">
        <v>483</v>
      </c>
      <c r="B119">
        <f>_xlfn.XLOOKUP(A119,'Do podmianki'!A:A,'Do podmianki'!B:B,K119)</f>
        <v>0</v>
      </c>
      <c r="C119">
        <f>_xlfn.XLOOKUP(A119,'Do podmianki'!A:A,'Do podmianki'!C:C,L119)</f>
        <v>0</v>
      </c>
      <c r="K119">
        <v>0</v>
      </c>
      <c r="L119">
        <v>0</v>
      </c>
    </row>
    <row r="120" spans="1:12" x14ac:dyDescent="0.25">
      <c r="A120" t="s">
        <v>484</v>
      </c>
      <c r="B120">
        <f>_xlfn.XLOOKUP(A120,'Do podmianki'!A:A,'Do podmianki'!B:B,K120)</f>
        <v>0</v>
      </c>
      <c r="C120">
        <f>_xlfn.XLOOKUP(A120,'Do podmianki'!A:A,'Do podmianki'!C:C,L120)</f>
        <v>0</v>
      </c>
      <c r="K120">
        <v>0</v>
      </c>
      <c r="L120">
        <v>0</v>
      </c>
    </row>
    <row r="121" spans="1:12" x14ac:dyDescent="0.25">
      <c r="A121" t="s">
        <v>694</v>
      </c>
      <c r="B121">
        <f>_xlfn.XLOOKUP(A121,'Do podmianki'!A:A,'Do podmianki'!B:B,K121)</f>
        <v>0</v>
      </c>
      <c r="C121">
        <f>_xlfn.XLOOKUP(A121,'Do podmianki'!A:A,'Do podmianki'!C:C,L121)</f>
        <v>0</v>
      </c>
      <c r="K121">
        <v>0</v>
      </c>
      <c r="L121">
        <v>0</v>
      </c>
    </row>
    <row r="122" spans="1:12" x14ac:dyDescent="0.25">
      <c r="A122" t="s">
        <v>485</v>
      </c>
      <c r="B122">
        <f>_xlfn.XLOOKUP(A122,'Do podmianki'!A:A,'Do podmianki'!B:B,K122)</f>
        <v>0</v>
      </c>
      <c r="C122">
        <f>_xlfn.XLOOKUP(A122,'Do podmianki'!A:A,'Do podmianki'!C:C,L122)</f>
        <v>0</v>
      </c>
      <c r="K122">
        <v>0</v>
      </c>
      <c r="L122">
        <v>0</v>
      </c>
    </row>
    <row r="123" spans="1:12" x14ac:dyDescent="0.25">
      <c r="A123" t="s">
        <v>486</v>
      </c>
      <c r="B123">
        <f>_xlfn.XLOOKUP(A123,'Do podmianki'!A:A,'Do podmianki'!B:B,K123)</f>
        <v>0</v>
      </c>
      <c r="C123">
        <f>_xlfn.XLOOKUP(A123,'Do podmianki'!A:A,'Do podmianki'!C:C,L123)</f>
        <v>0</v>
      </c>
      <c r="K123">
        <v>0</v>
      </c>
      <c r="L123">
        <v>0</v>
      </c>
    </row>
    <row r="124" spans="1:12" x14ac:dyDescent="0.25">
      <c r="A124" t="s">
        <v>487</v>
      </c>
      <c r="B124">
        <f>_xlfn.XLOOKUP(A124,'Do podmianki'!A:A,'Do podmianki'!B:B,K124)</f>
        <v>0</v>
      </c>
      <c r="C124">
        <f>_xlfn.XLOOKUP(A124,'Do podmianki'!A:A,'Do podmianki'!C:C,L124)</f>
        <v>0</v>
      </c>
      <c r="K124">
        <v>0</v>
      </c>
      <c r="L124">
        <v>0</v>
      </c>
    </row>
    <row r="125" spans="1:12" x14ac:dyDescent="0.25">
      <c r="A125" t="s">
        <v>488</v>
      </c>
      <c r="B125">
        <f>_xlfn.XLOOKUP(A125,'Do podmianki'!A:A,'Do podmianki'!B:B,K125)</f>
        <v>0</v>
      </c>
      <c r="C125">
        <f>_xlfn.XLOOKUP(A125,'Do podmianki'!A:A,'Do podmianki'!C:C,L125)</f>
        <v>0</v>
      </c>
      <c r="K125">
        <v>0</v>
      </c>
      <c r="L125">
        <v>0</v>
      </c>
    </row>
    <row r="126" spans="1:12" x14ac:dyDescent="0.25">
      <c r="A126" t="s">
        <v>489</v>
      </c>
      <c r="B126">
        <f>_xlfn.XLOOKUP(A126,'Do podmianki'!A:A,'Do podmianki'!B:B,K126)</f>
        <v>0</v>
      </c>
      <c r="C126">
        <f>_xlfn.XLOOKUP(A126,'Do podmianki'!A:A,'Do podmianki'!C:C,L126)</f>
        <v>0</v>
      </c>
      <c r="K126">
        <v>0</v>
      </c>
      <c r="L126">
        <v>0</v>
      </c>
    </row>
    <row r="127" spans="1:12" x14ac:dyDescent="0.25">
      <c r="A127" t="s">
        <v>490</v>
      </c>
      <c r="B127">
        <f>_xlfn.XLOOKUP(A127,'Do podmianki'!A:A,'Do podmianki'!B:B,K127)</f>
        <v>0</v>
      </c>
      <c r="C127">
        <f>_xlfn.XLOOKUP(A127,'Do podmianki'!A:A,'Do podmianki'!C:C,L127)</f>
        <v>0</v>
      </c>
      <c r="K127">
        <v>0</v>
      </c>
      <c r="L127">
        <v>0</v>
      </c>
    </row>
    <row r="128" spans="1:12" x14ac:dyDescent="0.25">
      <c r="A128" t="s">
        <v>491</v>
      </c>
      <c r="B128">
        <f>_xlfn.XLOOKUP(A128,'Do podmianki'!A:A,'Do podmianki'!B:B,K128)</f>
        <v>0</v>
      </c>
      <c r="C128">
        <f>_xlfn.XLOOKUP(A128,'Do podmianki'!A:A,'Do podmianki'!C:C,L128)</f>
        <v>0</v>
      </c>
      <c r="K128">
        <v>0</v>
      </c>
      <c r="L128">
        <v>0</v>
      </c>
    </row>
    <row r="129" spans="1:18" x14ac:dyDescent="0.25">
      <c r="A129" t="s">
        <v>492</v>
      </c>
      <c r="B129">
        <f>_xlfn.XLOOKUP(A129,'Do podmianki'!A:A,'Do podmianki'!B:B,K129)</f>
        <v>21.339516972121359</v>
      </c>
      <c r="C129">
        <f>_xlfn.XLOOKUP(A129,'Do podmianki'!A:A,'Do podmianki'!C:C,L129)</f>
        <v>0</v>
      </c>
      <c r="K129">
        <v>0</v>
      </c>
      <c r="L129">
        <v>0</v>
      </c>
    </row>
    <row r="130" spans="1:18" x14ac:dyDescent="0.25">
      <c r="A130" t="s">
        <v>493</v>
      </c>
      <c r="B130">
        <f>_xlfn.XLOOKUP(A130,'Do podmianki'!A:A,'Do podmianki'!B:B,K130)</f>
        <v>-46.56339240544245</v>
      </c>
      <c r="C130">
        <f>_xlfn.XLOOKUP(A130,'Do podmianki'!A:A,'Do podmianki'!C:C,L130)</f>
        <v>0</v>
      </c>
      <c r="K130">
        <v>0</v>
      </c>
      <c r="L130">
        <v>0</v>
      </c>
    </row>
    <row r="131" spans="1:18" x14ac:dyDescent="0.25">
      <c r="A131" t="s">
        <v>494</v>
      </c>
      <c r="B131">
        <f>_xlfn.XLOOKUP(A131,'Do podmianki'!A:A,'Do podmianki'!B:B,K131)</f>
        <v>4.2418408270470991</v>
      </c>
      <c r="C131">
        <f>_xlfn.XLOOKUP(A131,'Do podmianki'!A:A,'Do podmianki'!C:C,L131)</f>
        <v>0</v>
      </c>
      <c r="K131">
        <v>0</v>
      </c>
      <c r="L131">
        <v>0</v>
      </c>
    </row>
    <row r="132" spans="1:18" x14ac:dyDescent="0.25">
      <c r="A132" t="s">
        <v>495</v>
      </c>
      <c r="B132">
        <f>_xlfn.XLOOKUP(A132,'Do podmianki'!A:A,'Do podmianki'!B:B,K132)</f>
        <v>0</v>
      </c>
      <c r="C132">
        <f>_xlfn.XLOOKUP(A132,'Do podmianki'!A:A,'Do podmianki'!C:C,L132)</f>
        <v>0</v>
      </c>
      <c r="K132">
        <v>0</v>
      </c>
      <c r="L132">
        <v>0</v>
      </c>
    </row>
    <row r="133" spans="1:18" x14ac:dyDescent="0.25">
      <c r="A133" t="s">
        <v>496</v>
      </c>
      <c r="B133">
        <f>_xlfn.XLOOKUP(A133,'Do podmianki'!A:A,'Do podmianki'!B:B,K133)</f>
        <v>0</v>
      </c>
      <c r="C133">
        <f>_xlfn.XLOOKUP(A133,'Do podmianki'!A:A,'Do podmianki'!C:C,L133)</f>
        <v>0</v>
      </c>
      <c r="K133">
        <v>0</v>
      </c>
      <c r="L133">
        <v>0</v>
      </c>
    </row>
    <row r="134" spans="1:18" x14ac:dyDescent="0.25">
      <c r="A134" t="s">
        <v>538</v>
      </c>
      <c r="B134">
        <f>_xlfn.XLOOKUP(A134,'Do podmianki'!A:A,'Do podmianki'!B:B,K134)</f>
        <v>0</v>
      </c>
      <c r="C134">
        <f>_xlfn.XLOOKUP(A134,'Do podmianki'!A:A,'Do podmianki'!C:C,L134)</f>
        <v>0</v>
      </c>
      <c r="K134">
        <v>0</v>
      </c>
      <c r="L134">
        <v>0</v>
      </c>
    </row>
    <row r="135" spans="1:18" x14ac:dyDescent="0.25">
      <c r="A135" t="s">
        <v>696</v>
      </c>
      <c r="B135">
        <f>_xlfn.XLOOKUP(A135,'Do podmianki'!A:A,'Do podmianki'!B:B,Q135)</f>
        <v>47.147230684405379</v>
      </c>
      <c r="C135">
        <f>_xlfn.XLOOKUP($P135,Generators!$A:$A,Generators!C:C)</f>
        <v>20.100000000000001</v>
      </c>
      <c r="P135" t="s">
        <v>195</v>
      </c>
      <c r="Q135">
        <f>_xlfn.XLOOKUP($P135,Generators!$A:$A,Generators!B:B)</f>
        <v>40.200000000000003</v>
      </c>
      <c r="R135">
        <f>_xlfn.XLOOKUP($P135,Generators!$A:$A,Generators!C:C)</f>
        <v>20.100000000000001</v>
      </c>
    </row>
    <row r="136" spans="1:18" x14ac:dyDescent="0.25">
      <c r="A136" t="s">
        <v>697</v>
      </c>
      <c r="B136">
        <f>_xlfn.XLOOKUP($P136,Generators!$A:$A,Generators!B:B)</f>
        <v>30.5</v>
      </c>
      <c r="C136">
        <f>_xlfn.XLOOKUP($P136,Generators!$A:$A,Generators!C:C)</f>
        <v>-1.2</v>
      </c>
      <c r="P136" t="s">
        <v>196</v>
      </c>
      <c r="Q136">
        <f>_xlfn.XLOOKUP($P136,Generators!$A:$A,Generators!B:B)</f>
        <v>30.5</v>
      </c>
      <c r="R136">
        <f>_xlfn.XLOOKUP($P136,Generators!$A:$A,Generators!C:C)</f>
        <v>-1.2</v>
      </c>
    </row>
    <row r="137" spans="1:18" x14ac:dyDescent="0.25">
      <c r="A137" t="s">
        <v>698</v>
      </c>
      <c r="B137">
        <f>_xlfn.XLOOKUP($P137,Generators!$A:$A,Generators!B:B)</f>
        <v>42.8</v>
      </c>
      <c r="C137">
        <f>_xlfn.XLOOKUP($P137,Generators!$A:$A,Generators!C:C)</f>
        <v>11.9</v>
      </c>
      <c r="P137" t="s">
        <v>198</v>
      </c>
      <c r="Q137">
        <f>_xlfn.XLOOKUP($P137,Generators!$A:$A,Generators!B:B)</f>
        <v>42.8</v>
      </c>
      <c r="R137">
        <f>_xlfn.XLOOKUP($P137,Generators!$A:$A,Generators!C:C)</f>
        <v>11.9</v>
      </c>
    </row>
    <row r="138" spans="1:18" x14ac:dyDescent="0.25">
      <c r="A138" t="s">
        <v>699</v>
      </c>
      <c r="B138">
        <f>_xlfn.XLOOKUP($P138,Generators!$A:$A,Generators!B:B)</f>
        <v>22.9</v>
      </c>
      <c r="C138">
        <f>_xlfn.XLOOKUP($P138,Generators!$A:$A,Generators!C:C)</f>
        <v>11.45</v>
      </c>
      <c r="P138" t="s">
        <v>199</v>
      </c>
      <c r="Q138">
        <f>_xlfn.XLOOKUP($P138,Generators!$A:$A,Generators!B:B)</f>
        <v>22.9</v>
      </c>
      <c r="R138">
        <f>_xlfn.XLOOKUP($P138,Generators!$A:$A,Generators!C:C)</f>
        <v>11.45</v>
      </c>
    </row>
    <row r="139" spans="1:18" x14ac:dyDescent="0.25">
      <c r="A139" t="s">
        <v>700</v>
      </c>
      <c r="B139">
        <f>_xlfn.XLOOKUP($P139,Generators!$A:$A,Generators!B:B)</f>
        <v>18.3</v>
      </c>
      <c r="C139">
        <f>_xlfn.XLOOKUP($P139,Generators!$A:$A,Generators!C:C)</f>
        <v>-9.15</v>
      </c>
      <c r="P139" t="s">
        <v>216</v>
      </c>
      <c r="Q139">
        <f>_xlfn.XLOOKUP($P139,Generators!$A:$A,Generators!B:B)</f>
        <v>18.3</v>
      </c>
      <c r="R139">
        <f>_xlfn.XLOOKUP($P139,Generators!$A:$A,Generators!C:C)</f>
        <v>-9.15</v>
      </c>
    </row>
    <row r="140" spans="1:18" x14ac:dyDescent="0.25">
      <c r="A140" t="s">
        <v>701</v>
      </c>
      <c r="B140">
        <f>_xlfn.XLOOKUP($P140,Generators!$A:$A,Generators!B:B)</f>
        <v>66.900000000000006</v>
      </c>
      <c r="C140">
        <f>_xlfn.XLOOKUP($P140,Generators!$A:$A,Generators!C:C)</f>
        <v>33.450000000000003</v>
      </c>
      <c r="P140" t="s">
        <v>225</v>
      </c>
      <c r="Q140">
        <f>_xlfn.XLOOKUP($P140,Generators!$A:$A,Generators!B:B)</f>
        <v>66.900000000000006</v>
      </c>
      <c r="R140">
        <f>_xlfn.XLOOKUP($P140,Generators!$A:$A,Generators!C:C)</f>
        <v>33.450000000000003</v>
      </c>
    </row>
    <row r="141" spans="1:18" x14ac:dyDescent="0.25">
      <c r="A141" t="s">
        <v>702</v>
      </c>
      <c r="B141">
        <f>_xlfn.XLOOKUP($P141,Generators!$A:$A,Generators!B:B)</f>
        <v>30.9</v>
      </c>
      <c r="C141">
        <f>_xlfn.XLOOKUP($P141,Generators!$A:$A,Generators!C:C)</f>
        <v>15.45</v>
      </c>
      <c r="P141" t="s">
        <v>226</v>
      </c>
      <c r="Q141">
        <f>_xlfn.XLOOKUP($P141,Generators!$A:$A,Generators!B:B)</f>
        <v>30.9</v>
      </c>
      <c r="R141">
        <f>_xlfn.XLOOKUP($P141,Generators!$A:$A,Generators!C:C)</f>
        <v>15.45</v>
      </c>
    </row>
    <row r="142" spans="1:18" x14ac:dyDescent="0.25">
      <c r="A142" t="s">
        <v>703</v>
      </c>
      <c r="B142">
        <f>_xlfn.XLOOKUP($P142,Generators!$A:$A,Generators!B:B)</f>
        <v>11.2</v>
      </c>
      <c r="C142">
        <f>_xlfn.XLOOKUP($P142,Generators!$A:$A,Generators!C:C)</f>
        <v>5.6</v>
      </c>
      <c r="P142" t="s">
        <v>232</v>
      </c>
      <c r="Q142">
        <f>_xlfn.XLOOKUP($P142,Generators!$A:$A,Generators!B:B)</f>
        <v>11.2</v>
      </c>
      <c r="R142">
        <f>_xlfn.XLOOKUP($P142,Generators!$A:$A,Generators!C:C)</f>
        <v>5.6</v>
      </c>
    </row>
    <row r="143" spans="1:18" x14ac:dyDescent="0.25">
      <c r="A143" t="s">
        <v>704</v>
      </c>
      <c r="B143">
        <f>_xlfn.XLOOKUP($P143,Generators!$A:$A,Generators!B:B)</f>
        <v>70</v>
      </c>
      <c r="C143">
        <f>_xlfn.XLOOKUP($P143,Generators!$A:$A,Generators!C:C)</f>
        <v>-35.4</v>
      </c>
      <c r="P143" t="s">
        <v>237</v>
      </c>
      <c r="Q143">
        <f>_xlfn.XLOOKUP($P143,Generators!$A:$A,Generators!B:B)</f>
        <v>70</v>
      </c>
      <c r="R143">
        <f>_xlfn.XLOOKUP($P143,Generators!$A:$A,Generators!C:C)</f>
        <v>-35.4</v>
      </c>
    </row>
    <row r="144" spans="1:18" x14ac:dyDescent="0.25">
      <c r="A144" t="s">
        <v>705</v>
      </c>
      <c r="B144">
        <f>_xlfn.XLOOKUP($P144,Generators!$A:$A,Generators!B:B)</f>
        <v>70</v>
      </c>
      <c r="C144">
        <f>_xlfn.XLOOKUP($P144,Generators!$A:$A,Generators!C:C)</f>
        <v>-71.75</v>
      </c>
      <c r="P144" t="s">
        <v>241</v>
      </c>
      <c r="Q144">
        <f>_xlfn.XLOOKUP($P144,Generators!$A:$A,Generators!B:B)</f>
        <v>70</v>
      </c>
      <c r="R144">
        <f>_xlfn.XLOOKUP($P144,Generators!$A:$A,Generators!C:C)</f>
        <v>-71.75</v>
      </c>
    </row>
    <row r="145" spans="1:18" x14ac:dyDescent="0.25">
      <c r="A145" t="s">
        <v>706</v>
      </c>
      <c r="B145">
        <f>_xlfn.XLOOKUP($P145,Generators!$A:$A,Generators!B:B)</f>
        <v>90</v>
      </c>
      <c r="C145">
        <f>_xlfn.XLOOKUP($P145,Generators!$A:$A,Generators!C:C)</f>
        <v>-11.15</v>
      </c>
      <c r="P145" t="s">
        <v>242</v>
      </c>
      <c r="Q145">
        <f>_xlfn.XLOOKUP($P145,Generators!$A:$A,Generators!B:B)</f>
        <v>90</v>
      </c>
      <c r="R145">
        <f>_xlfn.XLOOKUP($P145,Generators!$A:$A,Generators!C:C)</f>
        <v>-11.15</v>
      </c>
    </row>
    <row r="146" spans="1:18" x14ac:dyDescent="0.25">
      <c r="A146" t="s">
        <v>707</v>
      </c>
      <c r="B146">
        <f>_xlfn.XLOOKUP($P146,Generators!$A:$A,Generators!B:B)</f>
        <v>26.8</v>
      </c>
      <c r="C146">
        <f>_xlfn.XLOOKUP($P146,Generators!$A:$A,Generators!C:C)</f>
        <v>13.4</v>
      </c>
      <c r="P146" t="s">
        <v>243</v>
      </c>
      <c r="Q146">
        <f>_xlfn.XLOOKUP($P146,Generators!$A:$A,Generators!B:B)</f>
        <v>26.8</v>
      </c>
      <c r="R146">
        <f>_xlfn.XLOOKUP($P146,Generators!$A:$A,Generators!C:C)</f>
        <v>13.4</v>
      </c>
    </row>
    <row r="147" spans="1:18" x14ac:dyDescent="0.25">
      <c r="A147" t="s">
        <v>708</v>
      </c>
      <c r="B147">
        <f>_xlfn.XLOOKUP($P147,Generators!$A:$A,Generators!B:B)</f>
        <v>70</v>
      </c>
      <c r="C147">
        <f>_xlfn.XLOOKUP($P147,Generators!$A:$A,Generators!C:C)</f>
        <v>-18.75</v>
      </c>
      <c r="P147" t="s">
        <v>244</v>
      </c>
      <c r="Q147">
        <f>_xlfn.XLOOKUP($P147,Generators!$A:$A,Generators!B:B)</f>
        <v>70</v>
      </c>
      <c r="R147">
        <f>_xlfn.XLOOKUP($P147,Generators!$A:$A,Generators!C:C)</f>
        <v>-18.75</v>
      </c>
    </row>
    <row r="148" spans="1:18" x14ac:dyDescent="0.25">
      <c r="A148" t="s">
        <v>709</v>
      </c>
      <c r="B148">
        <f>_xlfn.XLOOKUP($P148,Generators!$A:$A,Generators!B:B)</f>
        <v>53.3</v>
      </c>
      <c r="C148">
        <f>_xlfn.XLOOKUP($P148,Generators!$A:$A,Generators!C:C)</f>
        <v>-16.899999999999999</v>
      </c>
      <c r="P148" t="s">
        <v>245</v>
      </c>
      <c r="Q148">
        <f>_xlfn.XLOOKUP($P148,Generators!$A:$A,Generators!B:B)</f>
        <v>53.3</v>
      </c>
      <c r="R148">
        <f>_xlfn.XLOOKUP($P148,Generators!$A:$A,Generators!C:C)</f>
        <v>-16.899999999999999</v>
      </c>
    </row>
    <row r="149" spans="1:18" x14ac:dyDescent="0.25">
      <c r="A149" t="s">
        <v>726</v>
      </c>
      <c r="B149">
        <v>33.799999999999997</v>
      </c>
      <c r="C149">
        <v>-16.899999999999999</v>
      </c>
    </row>
    <row r="150" spans="1:18" x14ac:dyDescent="0.25">
      <c r="A150" t="s">
        <v>710</v>
      </c>
      <c r="B150">
        <f>_xlfn.XLOOKUP($P150,Generators!$A:$A,Generators!B:B)</f>
        <v>62</v>
      </c>
      <c r="C150">
        <f>_xlfn.XLOOKUP($P150,Generators!$A:$A,Generators!C:C)</f>
        <v>-4.5999999999999996</v>
      </c>
      <c r="P150" t="s">
        <v>246</v>
      </c>
      <c r="Q150">
        <f>_xlfn.XLOOKUP($P150,Generators!$A:$A,Generators!B:B)</f>
        <v>62</v>
      </c>
      <c r="R150">
        <f>_xlfn.XLOOKUP($P150,Generators!$A:$A,Generators!C:C)</f>
        <v>-4.5999999999999996</v>
      </c>
    </row>
    <row r="151" spans="1:18" x14ac:dyDescent="0.25">
      <c r="A151" t="s">
        <v>711</v>
      </c>
      <c r="B151">
        <f>_xlfn.XLOOKUP($P151,Generators!$A:$A,Generators!B:B)</f>
        <v>18.899999999999999</v>
      </c>
      <c r="C151">
        <f>_xlfn.XLOOKUP($P151,Generators!$A:$A,Generators!C:C)</f>
        <v>-2.7</v>
      </c>
      <c r="P151" t="s">
        <v>247</v>
      </c>
      <c r="Q151">
        <f>_xlfn.XLOOKUP($P151,Generators!$A:$A,Generators!B:B)</f>
        <v>18.899999999999999</v>
      </c>
      <c r="R151">
        <f>_xlfn.XLOOKUP($P151,Generators!$A:$A,Generators!C:C)</f>
        <v>-2.7</v>
      </c>
    </row>
    <row r="152" spans="1:18" x14ac:dyDescent="0.25">
      <c r="A152" t="s">
        <v>712</v>
      </c>
      <c r="B152">
        <f>_xlfn.XLOOKUP($P152,Generators!$A:$A,Generators!B:B)</f>
        <v>8</v>
      </c>
      <c r="C152">
        <f>_xlfn.XLOOKUP($P152,Generators!$A:$A,Generators!C:C)</f>
        <v>4</v>
      </c>
      <c r="P152" t="s">
        <v>248</v>
      </c>
      <c r="Q152">
        <f>_xlfn.XLOOKUP($P152,Generators!$A:$A,Generators!B:B)</f>
        <v>8</v>
      </c>
      <c r="R152">
        <f>_xlfn.XLOOKUP($P152,Generators!$A:$A,Generators!C:C)</f>
        <v>4</v>
      </c>
    </row>
    <row r="153" spans="1:18" x14ac:dyDescent="0.25">
      <c r="A153" t="s">
        <v>713</v>
      </c>
      <c r="B153">
        <f>_xlfn.XLOOKUP($P153,Generators!$A:$A,Generators!B:B)</f>
        <v>70</v>
      </c>
      <c r="C153">
        <f>_xlfn.XLOOKUP($P153,Generators!$A:$A,Generators!C:C)</f>
        <v>-25.4</v>
      </c>
      <c r="P153" t="s">
        <v>249</v>
      </c>
      <c r="Q153">
        <f>_xlfn.XLOOKUP($P153,Generators!$A:$A,Generators!B:B)</f>
        <v>70</v>
      </c>
      <c r="R153">
        <f>_xlfn.XLOOKUP($P153,Generators!$A:$A,Generators!C:C)</f>
        <v>-25.4</v>
      </c>
    </row>
    <row r="154" spans="1:18" x14ac:dyDescent="0.25">
      <c r="A154" t="s">
        <v>714</v>
      </c>
      <c r="B154">
        <f>_xlfn.XLOOKUP($P154,Generators!$A:$A,Generators!B:B)</f>
        <v>33.799999999999997</v>
      </c>
      <c r="C154">
        <f>_xlfn.XLOOKUP($P154,Generators!$A:$A,Generators!C:C)</f>
        <v>-16.899999999999999</v>
      </c>
      <c r="P154" t="s">
        <v>250</v>
      </c>
      <c r="Q154">
        <f>_xlfn.XLOOKUP($P154,Generators!$A:$A,Generators!B:B)</f>
        <v>33.799999999999997</v>
      </c>
      <c r="R154">
        <f>_xlfn.XLOOKUP($P154,Generators!$A:$A,Generators!C:C)</f>
        <v>-16.899999999999999</v>
      </c>
    </row>
    <row r="155" spans="1:18" x14ac:dyDescent="0.25">
      <c r="A155" t="s">
        <v>715</v>
      </c>
      <c r="B155">
        <f>_xlfn.XLOOKUP($P155,Generators!$A:$A,Generators!B:B)</f>
        <v>90</v>
      </c>
      <c r="C155">
        <f>_xlfn.XLOOKUP($P155,Generators!$A:$A,Generators!C:C)</f>
        <v>-8.6</v>
      </c>
      <c r="P155" t="s">
        <v>251</v>
      </c>
      <c r="Q155">
        <f>_xlfn.XLOOKUP($P155,Generators!$A:$A,Generators!B:B)</f>
        <v>90</v>
      </c>
      <c r="R155">
        <f>_xlfn.XLOOKUP($P155,Generators!$A:$A,Generators!C:C)</f>
        <v>-8.6</v>
      </c>
    </row>
    <row r="156" spans="1:18" x14ac:dyDescent="0.25">
      <c r="A156" t="s">
        <v>716</v>
      </c>
      <c r="B156">
        <f>_xlfn.XLOOKUP($P156,Generators!$A:$A,Generators!B:B)</f>
        <v>80</v>
      </c>
      <c r="C156">
        <f>_xlfn.XLOOKUP($P156,Generators!$A:$A,Generators!C:C)</f>
        <v>11.4</v>
      </c>
      <c r="P156" t="s">
        <v>252</v>
      </c>
      <c r="Q156">
        <f>_xlfn.XLOOKUP($P156,Generators!$A:$A,Generators!B:B)</f>
        <v>80</v>
      </c>
      <c r="R156">
        <f>_xlfn.XLOOKUP($P156,Generators!$A:$A,Generators!C:C)</f>
        <v>11.4</v>
      </c>
    </row>
    <row r="157" spans="1:18" x14ac:dyDescent="0.25">
      <c r="A157" t="s">
        <v>717</v>
      </c>
      <c r="B157">
        <f>_xlfn.XLOOKUP($P157,Generators!$A:$A,Generators!B:B)</f>
        <v>63.5</v>
      </c>
      <c r="C157">
        <f>_xlfn.XLOOKUP($P157,Generators!$A:$A,Generators!C:C)</f>
        <v>31.75</v>
      </c>
      <c r="P157" t="s">
        <v>253</v>
      </c>
      <c r="Q157">
        <f>_xlfn.XLOOKUP($P157,Generators!$A:$A,Generators!B:B)</f>
        <v>63.5</v>
      </c>
      <c r="R157">
        <f>_xlfn.XLOOKUP($P157,Generators!$A:$A,Generators!C:C)</f>
        <v>31.75</v>
      </c>
    </row>
    <row r="158" spans="1:18" x14ac:dyDescent="0.25">
      <c r="A158" t="s">
        <v>718</v>
      </c>
      <c r="B158">
        <f>_xlfn.XLOOKUP($P158,Generators!$A:$A,Generators!B:B)</f>
        <v>90</v>
      </c>
      <c r="C158">
        <f>_xlfn.XLOOKUP($P158,Generators!$A:$A,Generators!C:C)</f>
        <v>-20.3</v>
      </c>
      <c r="P158" t="s">
        <v>254</v>
      </c>
      <c r="Q158">
        <f>_xlfn.XLOOKUP($P158,Generators!$A:$A,Generators!B:B)</f>
        <v>90</v>
      </c>
      <c r="R158">
        <f>_xlfn.XLOOKUP($P158,Generators!$A:$A,Generators!C:C)</f>
        <v>-20.3</v>
      </c>
    </row>
    <row r="159" spans="1:18" x14ac:dyDescent="0.25">
      <c r="A159" t="s">
        <v>727</v>
      </c>
      <c r="B159">
        <v>33.799999999999997</v>
      </c>
      <c r="C159">
        <v>-16.899999999999999</v>
      </c>
    </row>
    <row r="160" spans="1:18" x14ac:dyDescent="0.25">
      <c r="A160" t="s">
        <v>728</v>
      </c>
      <c r="B160">
        <v>33.799999999999997</v>
      </c>
      <c r="C160">
        <v>-16.899999999999999</v>
      </c>
    </row>
    <row r="161" spans="1:18" x14ac:dyDescent="0.25">
      <c r="A161" t="s">
        <v>719</v>
      </c>
      <c r="B161">
        <f>_xlfn.XLOOKUP($P161,Generators!$A:$A,Generators!B:B)</f>
        <v>31.7</v>
      </c>
      <c r="C161">
        <f>_xlfn.XLOOKUP($P161,Generators!$A:$A,Generators!C:C)</f>
        <v>-6.3</v>
      </c>
      <c r="P161" t="s">
        <v>255</v>
      </c>
      <c r="Q161">
        <f>_xlfn.XLOOKUP($P161,Generators!$A:$A,Generators!B:B)</f>
        <v>31.7</v>
      </c>
      <c r="R161">
        <f>_xlfn.XLOOKUP($P161,Generators!$A:$A,Generators!C:C)</f>
        <v>-6.3</v>
      </c>
    </row>
    <row r="162" spans="1:18" x14ac:dyDescent="0.25">
      <c r="A162" t="s">
        <v>720</v>
      </c>
      <c r="B162">
        <f>_xlfn.XLOOKUP($P162,Generators!$A:$A,Generators!B:B)</f>
        <v>77</v>
      </c>
      <c r="C162">
        <f>_xlfn.XLOOKUP($P162,Generators!$A:$A,Generators!C:C)</f>
        <v>-10.4</v>
      </c>
      <c r="P162" t="s">
        <v>256</v>
      </c>
      <c r="Q162">
        <f>_xlfn.XLOOKUP($P162,Generators!$A:$A,Generators!B:B)</f>
        <v>77</v>
      </c>
      <c r="R162">
        <f>_xlfn.XLOOKUP($P162,Generators!$A:$A,Generators!C:C)</f>
        <v>-10.4</v>
      </c>
    </row>
    <row r="163" spans="1:18" x14ac:dyDescent="0.25">
      <c r="A163" t="s">
        <v>721</v>
      </c>
      <c r="B163">
        <f>_xlfn.XLOOKUP($P163,Generators!$A:$A,Generators!B:B)</f>
        <v>96.7</v>
      </c>
      <c r="C163">
        <f>_xlfn.XLOOKUP($P163,Generators!$A:$A,Generators!C:C)</f>
        <v>-20.100000000000001</v>
      </c>
      <c r="P163" t="s">
        <v>257</v>
      </c>
      <c r="Q163">
        <f>_xlfn.XLOOKUP($P163,Generators!$A:$A,Generators!B:B)</f>
        <v>96.7</v>
      </c>
      <c r="R163">
        <f>_xlfn.XLOOKUP($P163,Generators!$A:$A,Generators!C:C)</f>
        <v>-20.100000000000001</v>
      </c>
    </row>
    <row r="164" spans="1:18" x14ac:dyDescent="0.25">
      <c r="A164" t="s">
        <v>722</v>
      </c>
      <c r="B164">
        <f>_xlfn.XLOOKUP($P164,Generators!$A:$A,Generators!B:B)</f>
        <v>41.5</v>
      </c>
      <c r="C164">
        <f>_xlfn.XLOOKUP($P164,Generators!$A:$A,Generators!C:C)</f>
        <v>-20.75</v>
      </c>
      <c r="P164" t="s">
        <v>258</v>
      </c>
      <c r="Q164">
        <f>_xlfn.XLOOKUP($P164,Generators!$A:$A,Generators!B:B)</f>
        <v>41.5</v>
      </c>
      <c r="R164">
        <f>_xlfn.XLOOKUP($P164,Generators!$A:$A,Generators!C:C)</f>
        <v>-20.75</v>
      </c>
    </row>
    <row r="165" spans="1:18" x14ac:dyDescent="0.25">
      <c r="A165" t="s">
        <v>723</v>
      </c>
      <c r="B165">
        <f>_xlfn.XLOOKUP($P165,Generators!$A:$A,Generators!B:B)</f>
        <v>1.2</v>
      </c>
      <c r="C165">
        <f>_xlfn.XLOOKUP($P165,Generators!$A:$A,Generators!C:C)</f>
        <v>0.4</v>
      </c>
      <c r="P165" t="s">
        <v>259</v>
      </c>
      <c r="Q165">
        <f>_xlfn.XLOOKUP($P165,Generators!$A:$A,Generators!B:B)</f>
        <v>1.2</v>
      </c>
      <c r="R165">
        <f>_xlfn.XLOOKUP($P165,Generators!$A:$A,Generators!C:C)</f>
        <v>0.4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BA7F-E22C-410F-B169-5C97597321C0}">
  <sheetPr codeName="Arkusz5"/>
  <dimension ref="A1:E13"/>
  <sheetViews>
    <sheetView workbookViewId="0">
      <selection activeCell="F37" sqref="F37"/>
    </sheetView>
  </sheetViews>
  <sheetFormatPr defaultRowHeight="15" x14ac:dyDescent="0.25"/>
  <cols>
    <col min="1" max="1" width="17.7109375" customWidth="1"/>
    <col min="2" max="2" width="20.42578125" customWidth="1"/>
    <col min="3" max="3" width="16.7109375" customWidth="1"/>
  </cols>
  <sheetData>
    <row r="1" spans="1:5" x14ac:dyDescent="0.25">
      <c r="A1" t="s">
        <v>497</v>
      </c>
      <c r="B1" t="s">
        <v>498</v>
      </c>
      <c r="C1" t="s">
        <v>499</v>
      </c>
      <c r="D1" t="s">
        <v>500</v>
      </c>
      <c r="E1" t="s">
        <v>501</v>
      </c>
    </row>
    <row r="2" spans="1:5" x14ac:dyDescent="0.25">
      <c r="A2" t="s">
        <v>502</v>
      </c>
      <c r="B2" t="s">
        <v>503</v>
      </c>
      <c r="C2" t="s">
        <v>504</v>
      </c>
      <c r="D2" t="s">
        <v>505</v>
      </c>
      <c r="E2" t="s">
        <v>506</v>
      </c>
    </row>
    <row r="3" spans="1:5" x14ac:dyDescent="0.25">
      <c r="A3" t="s">
        <v>502</v>
      </c>
      <c r="B3" t="s">
        <v>523</v>
      </c>
      <c r="C3" t="s">
        <v>507</v>
      </c>
      <c r="D3" t="s">
        <v>508</v>
      </c>
      <c r="E3" t="s">
        <v>515</v>
      </c>
    </row>
    <row r="4" spans="1:5" x14ac:dyDescent="0.25">
      <c r="A4" t="s">
        <v>502</v>
      </c>
      <c r="B4" t="s">
        <v>525</v>
      </c>
      <c r="C4" t="s">
        <v>529</v>
      </c>
      <c r="D4" t="s">
        <v>508</v>
      </c>
      <c r="E4" t="s">
        <v>509</v>
      </c>
    </row>
    <row r="5" spans="1:5" x14ac:dyDescent="0.25">
      <c r="A5" t="s">
        <v>502</v>
      </c>
      <c r="B5" t="s">
        <v>526</v>
      </c>
      <c r="C5" t="s">
        <v>510</v>
      </c>
      <c r="D5" t="s">
        <v>511</v>
      </c>
      <c r="E5" t="s">
        <v>512</v>
      </c>
    </row>
    <row r="6" spans="1:5" x14ac:dyDescent="0.25">
      <c r="A6" t="s">
        <v>502</v>
      </c>
      <c r="B6" t="s">
        <v>527</v>
      </c>
      <c r="C6" t="s">
        <v>513</v>
      </c>
      <c r="D6" t="s">
        <v>514</v>
      </c>
      <c r="E6" t="s">
        <v>515</v>
      </c>
    </row>
    <row r="7" spans="1:5" x14ac:dyDescent="0.25">
      <c r="A7" t="s">
        <v>516</v>
      </c>
      <c r="B7" t="s">
        <v>517</v>
      </c>
      <c r="C7" t="s">
        <v>504</v>
      </c>
      <c r="D7" t="s">
        <v>505</v>
      </c>
      <c r="E7" t="s">
        <v>506</v>
      </c>
    </row>
    <row r="8" spans="1:5" x14ac:dyDescent="0.25">
      <c r="A8" t="s">
        <v>516</v>
      </c>
      <c r="B8" t="s">
        <v>528</v>
      </c>
      <c r="C8" t="s">
        <v>518</v>
      </c>
      <c r="D8" t="s">
        <v>519</v>
      </c>
      <c r="E8" t="s">
        <v>515</v>
      </c>
    </row>
    <row r="9" spans="1:5" x14ac:dyDescent="0.25">
      <c r="A9" t="s">
        <v>516</v>
      </c>
      <c r="B9" t="s">
        <v>530</v>
      </c>
      <c r="C9" t="s">
        <v>533</v>
      </c>
      <c r="D9" t="s">
        <v>531</v>
      </c>
      <c r="E9" t="s">
        <v>509</v>
      </c>
    </row>
    <row r="10" spans="1:5" x14ac:dyDescent="0.25">
      <c r="A10" t="s">
        <v>516</v>
      </c>
      <c r="B10" t="s">
        <v>532</v>
      </c>
      <c r="C10" t="s">
        <v>534</v>
      </c>
      <c r="D10" t="s">
        <v>531</v>
      </c>
      <c r="E10" t="s">
        <v>509</v>
      </c>
    </row>
    <row r="11" spans="1:5" x14ac:dyDescent="0.25">
      <c r="A11" t="s">
        <v>535</v>
      </c>
      <c r="B11" t="s">
        <v>520</v>
      </c>
      <c r="C11" t="s">
        <v>504</v>
      </c>
      <c r="D11" t="s">
        <v>505</v>
      </c>
      <c r="E11" t="s">
        <v>506</v>
      </c>
    </row>
    <row r="12" spans="1:5" x14ac:dyDescent="0.25">
      <c r="A12" t="s">
        <v>535</v>
      </c>
      <c r="B12" t="s">
        <v>528</v>
      </c>
      <c r="C12" t="s">
        <v>518</v>
      </c>
      <c r="D12" t="s">
        <v>524</v>
      </c>
    </row>
    <row r="13" spans="1:5" x14ac:dyDescent="0.25">
      <c r="A13" t="s">
        <v>535</v>
      </c>
      <c r="B13" t="s">
        <v>521</v>
      </c>
      <c r="C13" t="s">
        <v>536</v>
      </c>
      <c r="D13" t="s">
        <v>505</v>
      </c>
      <c r="E13" t="s">
        <v>522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A904-246E-44D6-B3CE-2BEAFC12D536}">
  <sheetPr codeName="Arkusz6"/>
  <dimension ref="A1:S329"/>
  <sheetViews>
    <sheetView topLeftCell="A4" workbookViewId="0">
      <selection activeCell="H8" sqref="H8"/>
    </sheetView>
  </sheetViews>
  <sheetFormatPr defaultRowHeight="15" x14ac:dyDescent="0.25"/>
  <cols>
    <col min="4" max="4" width="22.140625" customWidth="1"/>
    <col min="8" max="8" width="18.28515625" customWidth="1"/>
    <col min="9" max="9" width="13.28515625" customWidth="1"/>
    <col min="10" max="10" width="47.5703125" customWidth="1"/>
    <col min="12" max="12" width="1.85546875" customWidth="1"/>
  </cols>
  <sheetData>
    <row r="1" spans="1:19" x14ac:dyDescent="0.25">
      <c r="A1" t="s">
        <v>553</v>
      </c>
      <c r="B1" t="s">
        <v>554</v>
      </c>
      <c r="C1" t="s">
        <v>555</v>
      </c>
      <c r="D1" t="s">
        <v>556</v>
      </c>
      <c r="H1" t="s">
        <v>560</v>
      </c>
      <c r="I1" t="s">
        <v>561</v>
      </c>
      <c r="J1" t="s">
        <v>562</v>
      </c>
    </row>
    <row r="2" spans="1:19" x14ac:dyDescent="0.25">
      <c r="A2">
        <v>1.73</v>
      </c>
      <c r="B2">
        <f t="shared" ref="B2:B65" si="0">_xlfn.XLOOKUP($N2,$P$2:$P$13,$Q$2:$Q$13)</f>
        <v>1</v>
      </c>
      <c r="C2">
        <f t="shared" ref="C2:C65" si="1">_xlfn.XLOOKUP($N2,$P$2:$P$13,$R$2:$R$13)</f>
        <v>1</v>
      </c>
      <c r="D2" t="str">
        <f t="shared" ref="D2:D65" si="2">_xlfn.XLOOKUP($N2,$P$2:$P$13,$S$2:$S$13)</f>
        <v>Możliwa do wyłączenia</v>
      </c>
      <c r="H2" t="s">
        <v>563</v>
      </c>
      <c r="I2">
        <v>4</v>
      </c>
      <c r="J2" t="s">
        <v>565</v>
      </c>
      <c r="L2" t="s">
        <v>570</v>
      </c>
      <c r="M2">
        <v>1.73</v>
      </c>
      <c r="N2" t="str">
        <f>_xlfn.XLOOKUP(M2,$I$8:$I$15,$J$8:$J$15,L2)</f>
        <v>Area 1-110kV</v>
      </c>
      <c r="P2" t="s">
        <v>570</v>
      </c>
      <c r="Q2">
        <v>1</v>
      </c>
      <c r="R2">
        <v>1</v>
      </c>
      <c r="S2" t="s">
        <v>558</v>
      </c>
    </row>
    <row r="3" spans="1:19" x14ac:dyDescent="0.25">
      <c r="A3">
        <v>10.130000000000001</v>
      </c>
      <c r="B3">
        <f t="shared" si="0"/>
        <v>1</v>
      </c>
      <c r="C3">
        <f t="shared" si="1"/>
        <v>1</v>
      </c>
      <c r="D3" t="str">
        <f t="shared" si="2"/>
        <v>Możliwa do wyłączenia</v>
      </c>
      <c r="H3" t="s">
        <v>564</v>
      </c>
      <c r="I3">
        <v>1</v>
      </c>
      <c r="J3" t="s">
        <v>566</v>
      </c>
      <c r="L3" t="s">
        <v>570</v>
      </c>
      <c r="M3">
        <v>10.130000000000001</v>
      </c>
      <c r="N3" t="str">
        <f t="shared" ref="N3:N66" si="3">_xlfn.XLOOKUP(M3,$I$8:$I$15,$J$8:$J$15,L3)</f>
        <v>Area 1-110kV</v>
      </c>
      <c r="P3" t="s">
        <v>571</v>
      </c>
      <c r="Q3">
        <v>0</v>
      </c>
      <c r="R3" t="s">
        <v>505</v>
      </c>
      <c r="S3" t="s">
        <v>573</v>
      </c>
    </row>
    <row r="4" spans="1:19" x14ac:dyDescent="0.25">
      <c r="A4">
        <v>100.102</v>
      </c>
      <c r="B4">
        <f t="shared" si="0"/>
        <v>1</v>
      </c>
      <c r="C4">
        <f t="shared" si="1"/>
        <v>1</v>
      </c>
      <c r="D4" t="str">
        <f t="shared" si="2"/>
        <v>Możliwa do wyłączenia</v>
      </c>
      <c r="L4" t="s">
        <v>570</v>
      </c>
      <c r="M4">
        <v>100.102</v>
      </c>
      <c r="N4" t="str">
        <f t="shared" si="3"/>
        <v>Area 1-110kV</v>
      </c>
      <c r="P4" t="s">
        <v>572</v>
      </c>
      <c r="Q4">
        <v>0</v>
      </c>
      <c r="R4" t="s">
        <v>505</v>
      </c>
      <c r="S4" t="s">
        <v>573</v>
      </c>
    </row>
    <row r="5" spans="1:19" x14ac:dyDescent="0.25">
      <c r="A5">
        <v>102.104</v>
      </c>
      <c r="B5">
        <f t="shared" si="0"/>
        <v>1</v>
      </c>
      <c r="C5">
        <f t="shared" si="1"/>
        <v>1</v>
      </c>
      <c r="D5" t="str">
        <f t="shared" si="2"/>
        <v>Możliwa do wyłączenia</v>
      </c>
      <c r="L5" t="s">
        <v>570</v>
      </c>
      <c r="M5">
        <v>102.104</v>
      </c>
      <c r="N5" t="str">
        <f t="shared" si="3"/>
        <v>Area 1-110kV</v>
      </c>
      <c r="P5" t="s">
        <v>639</v>
      </c>
      <c r="Q5">
        <v>0</v>
      </c>
      <c r="R5" t="s">
        <v>505</v>
      </c>
      <c r="S5" t="s">
        <v>640</v>
      </c>
    </row>
    <row r="6" spans="1:19" x14ac:dyDescent="0.25">
      <c r="A6">
        <v>102.33</v>
      </c>
      <c r="B6">
        <f t="shared" si="0"/>
        <v>1</v>
      </c>
      <c r="C6">
        <f t="shared" si="1"/>
        <v>1</v>
      </c>
      <c r="D6" t="str">
        <f t="shared" si="2"/>
        <v>Możliwa do wyłączenia</v>
      </c>
      <c r="L6" t="s">
        <v>570</v>
      </c>
      <c r="M6">
        <v>102.33</v>
      </c>
      <c r="N6" t="str">
        <f t="shared" si="3"/>
        <v>Area 1-110kV</v>
      </c>
      <c r="P6" t="s">
        <v>688</v>
      </c>
      <c r="Q6">
        <v>0</v>
      </c>
      <c r="R6" t="s">
        <v>505</v>
      </c>
      <c r="S6" t="s">
        <v>689</v>
      </c>
    </row>
    <row r="7" spans="1:19" x14ac:dyDescent="0.25">
      <c r="A7">
        <v>102.98</v>
      </c>
      <c r="B7">
        <f t="shared" si="0"/>
        <v>1</v>
      </c>
      <c r="C7">
        <f t="shared" si="1"/>
        <v>1</v>
      </c>
      <c r="D7" t="str">
        <f t="shared" si="2"/>
        <v>Możliwa do wyłączenia</v>
      </c>
      <c r="L7" t="s">
        <v>570</v>
      </c>
      <c r="M7">
        <v>102.98</v>
      </c>
      <c r="N7" t="str">
        <f t="shared" si="3"/>
        <v>Area 1-110kV</v>
      </c>
      <c r="P7" t="s">
        <v>505</v>
      </c>
      <c r="Q7">
        <v>1</v>
      </c>
      <c r="R7">
        <v>2</v>
      </c>
      <c r="S7" t="s">
        <v>557</v>
      </c>
    </row>
    <row r="8" spans="1:19" x14ac:dyDescent="0.25">
      <c r="A8">
        <v>10201.120000000001</v>
      </c>
      <c r="B8">
        <f t="shared" si="0"/>
        <v>0</v>
      </c>
      <c r="C8" t="str">
        <f t="shared" si="1"/>
        <v>-</v>
      </c>
      <c r="D8" t="str">
        <f t="shared" si="2"/>
        <v>Obcy obszar</v>
      </c>
      <c r="I8">
        <v>70.709999999999994</v>
      </c>
      <c r="J8" t="s">
        <v>639</v>
      </c>
      <c r="L8" t="s">
        <v>571</v>
      </c>
      <c r="M8">
        <v>10201.120000000001</v>
      </c>
      <c r="N8" t="str">
        <f t="shared" si="3"/>
        <v>Area 2-110kV</v>
      </c>
      <c r="P8" t="s">
        <v>505</v>
      </c>
      <c r="Q8">
        <v>1</v>
      </c>
      <c r="R8">
        <v>3</v>
      </c>
      <c r="S8" t="s">
        <v>559</v>
      </c>
    </row>
    <row r="9" spans="1:19" x14ac:dyDescent="0.25">
      <c r="A9">
        <v>1024.175</v>
      </c>
      <c r="B9">
        <f t="shared" si="0"/>
        <v>0</v>
      </c>
      <c r="C9" t="str">
        <f t="shared" si="1"/>
        <v>-</v>
      </c>
      <c r="D9" t="str">
        <f t="shared" si="2"/>
        <v>Obcy obszar</v>
      </c>
      <c r="G9">
        <v>5.73</v>
      </c>
      <c r="H9">
        <v>5.73</v>
      </c>
      <c r="J9" t="s">
        <v>688</v>
      </c>
      <c r="L9" t="s">
        <v>571</v>
      </c>
      <c r="M9">
        <v>1024.175</v>
      </c>
      <c r="N9" t="str">
        <f t="shared" si="3"/>
        <v>Area 2-110kV</v>
      </c>
      <c r="P9" t="s">
        <v>567</v>
      </c>
      <c r="Q9">
        <v>0</v>
      </c>
      <c r="R9" t="s">
        <v>505</v>
      </c>
      <c r="S9" t="s">
        <v>569</v>
      </c>
    </row>
    <row r="10" spans="1:19" x14ac:dyDescent="0.25">
      <c r="A10">
        <v>1024.1759999999999</v>
      </c>
      <c r="B10">
        <f t="shared" si="0"/>
        <v>0</v>
      </c>
      <c r="C10" t="str">
        <f t="shared" si="1"/>
        <v>-</v>
      </c>
      <c r="D10" t="str">
        <f t="shared" si="2"/>
        <v>Obcy obszar</v>
      </c>
      <c r="G10">
        <v>8.14</v>
      </c>
      <c r="H10">
        <v>1.73</v>
      </c>
      <c r="J10" t="s">
        <v>688</v>
      </c>
      <c r="L10" t="s">
        <v>571</v>
      </c>
      <c r="M10">
        <v>1024.1759999999999</v>
      </c>
      <c r="N10" t="str">
        <f t="shared" si="3"/>
        <v>Area 2-110kV</v>
      </c>
      <c r="P10" t="s">
        <v>568</v>
      </c>
      <c r="Q10">
        <v>0</v>
      </c>
      <c r="R10" t="s">
        <v>505</v>
      </c>
      <c r="S10" t="s">
        <v>569</v>
      </c>
    </row>
    <row r="11" spans="1:19" x14ac:dyDescent="0.25">
      <c r="A11">
        <v>103.105</v>
      </c>
      <c r="B11">
        <f t="shared" si="0"/>
        <v>1</v>
      </c>
      <c r="C11">
        <f t="shared" si="1"/>
        <v>1</v>
      </c>
      <c r="D11" t="str">
        <f t="shared" si="2"/>
        <v>Możliwa do wyłączenia</v>
      </c>
      <c r="G11">
        <v>73.709999999999994</v>
      </c>
      <c r="H11">
        <v>73.709999999999994</v>
      </c>
      <c r="J11" t="s">
        <v>688</v>
      </c>
      <c r="L11" t="s">
        <v>570</v>
      </c>
      <c r="M11">
        <v>103.105</v>
      </c>
      <c r="N11" t="str">
        <f t="shared" si="3"/>
        <v>Area 1-110kV</v>
      </c>
    </row>
    <row r="12" spans="1:19" x14ac:dyDescent="0.25">
      <c r="A12">
        <v>104.108</v>
      </c>
      <c r="B12">
        <f t="shared" si="0"/>
        <v>1</v>
      </c>
      <c r="C12">
        <f t="shared" si="1"/>
        <v>1</v>
      </c>
      <c r="D12" t="str">
        <f t="shared" si="2"/>
        <v>Możliwa do wyłączenia</v>
      </c>
      <c r="G12">
        <v>175.173</v>
      </c>
      <c r="H12">
        <v>79.73</v>
      </c>
      <c r="J12" t="s">
        <v>688</v>
      </c>
      <c r="L12" t="s">
        <v>570</v>
      </c>
      <c r="M12">
        <v>104.108</v>
      </c>
      <c r="N12" t="str">
        <f t="shared" si="3"/>
        <v>Area 1-110kV</v>
      </c>
    </row>
    <row r="13" spans="1:19" x14ac:dyDescent="0.25">
      <c r="A13">
        <v>105.107</v>
      </c>
      <c r="B13">
        <f t="shared" si="0"/>
        <v>1</v>
      </c>
      <c r="C13">
        <f t="shared" si="1"/>
        <v>1</v>
      </c>
      <c r="D13" t="str">
        <f t="shared" si="2"/>
        <v>Możliwa do wyłączenia</v>
      </c>
      <c r="G13">
        <v>173.172</v>
      </c>
      <c r="H13">
        <v>5.9</v>
      </c>
      <c r="J13" t="s">
        <v>688</v>
      </c>
      <c r="L13" t="s">
        <v>570</v>
      </c>
      <c r="M13">
        <v>105.107</v>
      </c>
      <c r="N13" t="str">
        <f t="shared" si="3"/>
        <v>Area 1-110kV</v>
      </c>
    </row>
    <row r="14" spans="1:19" x14ac:dyDescent="0.25">
      <c r="A14">
        <v>105.11</v>
      </c>
      <c r="B14">
        <f t="shared" si="0"/>
        <v>1</v>
      </c>
      <c r="C14">
        <f t="shared" si="1"/>
        <v>1</v>
      </c>
      <c r="D14" t="str">
        <f t="shared" si="2"/>
        <v>Możliwa do wyłączenia</v>
      </c>
      <c r="G14">
        <v>35.770000000000003</v>
      </c>
      <c r="J14" t="s">
        <v>688</v>
      </c>
      <c r="L14" t="s">
        <v>570</v>
      </c>
      <c r="M14">
        <v>105.11</v>
      </c>
      <c r="N14" t="str">
        <f t="shared" si="3"/>
        <v>Area 1-110kV</v>
      </c>
    </row>
    <row r="15" spans="1:19" x14ac:dyDescent="0.25">
      <c r="A15">
        <v>107.99</v>
      </c>
      <c r="B15">
        <f t="shared" si="0"/>
        <v>1</v>
      </c>
      <c r="C15">
        <f t="shared" si="1"/>
        <v>1</v>
      </c>
      <c r="D15" t="str">
        <f t="shared" si="2"/>
        <v>Możliwa do wyłączenia</v>
      </c>
      <c r="G15">
        <v>5.9</v>
      </c>
      <c r="J15" t="s">
        <v>688</v>
      </c>
      <c r="L15" t="s">
        <v>570</v>
      </c>
      <c r="M15">
        <v>107.99</v>
      </c>
      <c r="N15" t="str">
        <f t="shared" si="3"/>
        <v>Area 1-110kV</v>
      </c>
    </row>
    <row r="16" spans="1:19" x14ac:dyDescent="0.25">
      <c r="A16">
        <v>109.11</v>
      </c>
      <c r="B16">
        <f t="shared" si="0"/>
        <v>1</v>
      </c>
      <c r="C16">
        <f t="shared" si="1"/>
        <v>1</v>
      </c>
      <c r="D16" t="str">
        <f t="shared" si="2"/>
        <v>Możliwa do wyłączenia</v>
      </c>
      <c r="L16" t="s">
        <v>570</v>
      </c>
      <c r="M16">
        <v>109.11</v>
      </c>
      <c r="N16" t="str">
        <f t="shared" si="3"/>
        <v>Area 1-110kV</v>
      </c>
    </row>
    <row r="17" spans="1:14" x14ac:dyDescent="0.25">
      <c r="A17">
        <v>109.113</v>
      </c>
      <c r="B17">
        <f t="shared" si="0"/>
        <v>1</v>
      </c>
      <c r="C17">
        <f t="shared" si="1"/>
        <v>1</v>
      </c>
      <c r="D17" t="str">
        <f t="shared" si="2"/>
        <v>Możliwa do wyłączenia</v>
      </c>
      <c r="L17" t="s">
        <v>570</v>
      </c>
      <c r="M17">
        <v>109.113</v>
      </c>
      <c r="N17" t="str">
        <f t="shared" si="3"/>
        <v>Area 1-110kV</v>
      </c>
    </row>
    <row r="18" spans="1:14" x14ac:dyDescent="0.25">
      <c r="A18">
        <v>109.99</v>
      </c>
      <c r="B18">
        <f t="shared" si="0"/>
        <v>1</v>
      </c>
      <c r="C18">
        <f t="shared" si="1"/>
        <v>1</v>
      </c>
      <c r="D18" t="str">
        <f t="shared" si="2"/>
        <v>Możliwa do wyłączenia</v>
      </c>
      <c r="L18" t="s">
        <v>570</v>
      </c>
      <c r="M18">
        <v>109.99</v>
      </c>
      <c r="N18" t="str">
        <f t="shared" si="3"/>
        <v>Area 1-110kV</v>
      </c>
    </row>
    <row r="19" spans="1:14" x14ac:dyDescent="0.25">
      <c r="A19">
        <v>11.1</v>
      </c>
      <c r="B19">
        <f t="shared" si="0"/>
        <v>1</v>
      </c>
      <c r="C19">
        <f t="shared" si="1"/>
        <v>1</v>
      </c>
      <c r="D19" t="str">
        <f t="shared" si="2"/>
        <v>Możliwa do wyłączenia</v>
      </c>
      <c r="L19" t="s">
        <v>570</v>
      </c>
      <c r="M19">
        <v>11.1</v>
      </c>
      <c r="N19" t="str">
        <f t="shared" si="3"/>
        <v>Area 1-110kV</v>
      </c>
    </row>
    <row r="20" spans="1:14" x14ac:dyDescent="0.25">
      <c r="A20">
        <v>11.8</v>
      </c>
      <c r="B20">
        <f t="shared" si="0"/>
        <v>1</v>
      </c>
      <c r="C20">
        <f t="shared" si="1"/>
        <v>1</v>
      </c>
      <c r="D20" t="str">
        <f t="shared" si="2"/>
        <v>Możliwa do wyłączenia</v>
      </c>
      <c r="L20" t="s">
        <v>570</v>
      </c>
      <c r="M20">
        <v>11.8</v>
      </c>
      <c r="N20" t="str">
        <f t="shared" si="3"/>
        <v>Area 1-110kV</v>
      </c>
    </row>
    <row r="21" spans="1:14" x14ac:dyDescent="0.25">
      <c r="A21">
        <v>11.9</v>
      </c>
      <c r="B21">
        <f t="shared" si="0"/>
        <v>1</v>
      </c>
      <c r="C21">
        <f t="shared" si="1"/>
        <v>1</v>
      </c>
      <c r="D21" t="str">
        <f t="shared" si="2"/>
        <v>Możliwa do wyłączenia</v>
      </c>
      <c r="L21" t="s">
        <v>570</v>
      </c>
      <c r="M21">
        <v>11.9</v>
      </c>
      <c r="N21" t="str">
        <f t="shared" si="3"/>
        <v>Area 1-110kV</v>
      </c>
    </row>
    <row r="22" spans="1:14" x14ac:dyDescent="0.25">
      <c r="A22">
        <v>110.90009999999999</v>
      </c>
      <c r="B22">
        <f t="shared" si="0"/>
        <v>1</v>
      </c>
      <c r="C22">
        <f t="shared" si="1"/>
        <v>1</v>
      </c>
      <c r="D22" t="str">
        <f t="shared" si="2"/>
        <v>Możliwa do wyłączenia</v>
      </c>
      <c r="L22" t="s">
        <v>570</v>
      </c>
      <c r="M22">
        <v>110.90009999999999</v>
      </c>
      <c r="N22" t="str">
        <f t="shared" si="3"/>
        <v>Area 1-110kV</v>
      </c>
    </row>
    <row r="23" spans="1:14" x14ac:dyDescent="0.25">
      <c r="A23">
        <v>112.11</v>
      </c>
      <c r="B23">
        <f t="shared" si="0"/>
        <v>1</v>
      </c>
      <c r="C23">
        <f t="shared" si="1"/>
        <v>1</v>
      </c>
      <c r="D23" t="str">
        <f t="shared" si="2"/>
        <v>Możliwa do wyłączenia</v>
      </c>
      <c r="L23" t="s">
        <v>570</v>
      </c>
      <c r="M23">
        <v>112.11</v>
      </c>
      <c r="N23" t="str">
        <f t="shared" si="3"/>
        <v>Area 1-110kV</v>
      </c>
    </row>
    <row r="24" spans="1:14" x14ac:dyDescent="0.25">
      <c r="A24">
        <v>113.47</v>
      </c>
      <c r="B24">
        <f t="shared" si="0"/>
        <v>1</v>
      </c>
      <c r="C24">
        <f t="shared" si="1"/>
        <v>1</v>
      </c>
      <c r="D24" t="str">
        <f t="shared" si="2"/>
        <v>Możliwa do wyłączenia</v>
      </c>
      <c r="L24" t="s">
        <v>570</v>
      </c>
      <c r="M24">
        <v>113.47</v>
      </c>
      <c r="N24" t="str">
        <f t="shared" si="3"/>
        <v>Area 1-110kV</v>
      </c>
    </row>
    <row r="25" spans="1:14" x14ac:dyDescent="0.25">
      <c r="A25">
        <v>114.10899999999999</v>
      </c>
      <c r="B25">
        <f t="shared" si="0"/>
        <v>1</v>
      </c>
      <c r="C25">
        <f t="shared" si="1"/>
        <v>1</v>
      </c>
      <c r="D25" t="str">
        <f t="shared" si="2"/>
        <v>Możliwa do wyłączenia</v>
      </c>
      <c r="L25" t="s">
        <v>570</v>
      </c>
      <c r="M25">
        <v>114.10899999999999</v>
      </c>
      <c r="N25" t="str">
        <f t="shared" si="3"/>
        <v>Area 1-110kV</v>
      </c>
    </row>
    <row r="26" spans="1:14" x14ac:dyDescent="0.25">
      <c r="A26">
        <v>114.11199999999999</v>
      </c>
      <c r="B26">
        <f t="shared" si="0"/>
        <v>1</v>
      </c>
      <c r="C26">
        <f t="shared" si="1"/>
        <v>1</v>
      </c>
      <c r="D26" t="str">
        <f t="shared" si="2"/>
        <v>Możliwa do wyłączenia</v>
      </c>
      <c r="L26" t="s">
        <v>570</v>
      </c>
      <c r="M26">
        <v>114.11199999999999</v>
      </c>
      <c r="N26" t="str">
        <f t="shared" si="3"/>
        <v>Area 1-110kV</v>
      </c>
    </row>
    <row r="27" spans="1:14" x14ac:dyDescent="0.25">
      <c r="A27">
        <v>115.121</v>
      </c>
      <c r="B27">
        <f t="shared" si="0"/>
        <v>0</v>
      </c>
      <c r="C27" t="str">
        <f t="shared" si="1"/>
        <v>-</v>
      </c>
      <c r="D27" t="str">
        <f t="shared" si="2"/>
        <v>Obcy obszar</v>
      </c>
      <c r="L27" t="s">
        <v>571</v>
      </c>
      <c r="M27">
        <v>115.121</v>
      </c>
      <c r="N27" t="str">
        <f t="shared" si="3"/>
        <v>Area 2-110kV</v>
      </c>
    </row>
    <row r="28" spans="1:14" x14ac:dyDescent="0.25">
      <c r="A28">
        <v>115.122</v>
      </c>
      <c r="B28">
        <f t="shared" si="0"/>
        <v>0</v>
      </c>
      <c r="C28" t="str">
        <f t="shared" si="1"/>
        <v>-</v>
      </c>
      <c r="D28" t="str">
        <f t="shared" si="2"/>
        <v>Obcy obszar</v>
      </c>
      <c r="L28" t="s">
        <v>571</v>
      </c>
      <c r="M28">
        <v>115.122</v>
      </c>
      <c r="N28" t="str">
        <f t="shared" si="3"/>
        <v>Area 2-110kV</v>
      </c>
    </row>
    <row r="29" spans="1:14" x14ac:dyDescent="0.25">
      <c r="A29">
        <v>116.12</v>
      </c>
      <c r="B29">
        <f t="shared" si="0"/>
        <v>0</v>
      </c>
      <c r="C29" t="str">
        <f t="shared" si="1"/>
        <v>-</v>
      </c>
      <c r="D29" t="str">
        <f t="shared" si="2"/>
        <v>Obcy obszar</v>
      </c>
      <c r="L29" t="s">
        <v>571</v>
      </c>
      <c r="M29">
        <v>116.12</v>
      </c>
      <c r="N29" t="str">
        <f t="shared" si="3"/>
        <v>Area 2-110kV</v>
      </c>
    </row>
    <row r="30" spans="1:14" x14ac:dyDescent="0.25">
      <c r="A30">
        <v>118.10201000000001</v>
      </c>
      <c r="B30">
        <f t="shared" si="0"/>
        <v>0</v>
      </c>
      <c r="C30" t="str">
        <f t="shared" si="1"/>
        <v>-</v>
      </c>
      <c r="D30" t="str">
        <f t="shared" si="2"/>
        <v>Obcy obszar</v>
      </c>
      <c r="L30" t="s">
        <v>571</v>
      </c>
      <c r="M30">
        <v>118.10201000000001</v>
      </c>
      <c r="N30" t="str">
        <f t="shared" si="3"/>
        <v>Area 2-110kV</v>
      </c>
    </row>
    <row r="31" spans="1:14" x14ac:dyDescent="0.25">
      <c r="A31">
        <v>118.117</v>
      </c>
      <c r="B31">
        <f t="shared" si="0"/>
        <v>0</v>
      </c>
      <c r="C31" t="str">
        <f t="shared" si="1"/>
        <v>-</v>
      </c>
      <c r="D31" t="str">
        <f t="shared" si="2"/>
        <v>Obcy obszar</v>
      </c>
      <c r="L31" t="s">
        <v>571</v>
      </c>
      <c r="M31">
        <v>118.117</v>
      </c>
      <c r="N31" t="str">
        <f t="shared" si="3"/>
        <v>Area 2-110kV</v>
      </c>
    </row>
    <row r="32" spans="1:14" x14ac:dyDescent="0.25">
      <c r="A32">
        <v>118.12</v>
      </c>
      <c r="B32">
        <f t="shared" si="0"/>
        <v>0</v>
      </c>
      <c r="C32" t="str">
        <f t="shared" si="1"/>
        <v>-</v>
      </c>
      <c r="D32" t="str">
        <f t="shared" si="2"/>
        <v>Obcy obszar</v>
      </c>
      <c r="L32" t="s">
        <v>571</v>
      </c>
      <c r="M32">
        <v>118.12</v>
      </c>
      <c r="N32" t="str">
        <f t="shared" si="3"/>
        <v>Area 2-110kV</v>
      </c>
    </row>
    <row r="33" spans="1:14" x14ac:dyDescent="0.25">
      <c r="A33">
        <v>119.11799999999999</v>
      </c>
      <c r="B33">
        <f t="shared" si="0"/>
        <v>0</v>
      </c>
      <c r="C33" t="str">
        <f t="shared" si="1"/>
        <v>-</v>
      </c>
      <c r="D33" t="str">
        <f t="shared" si="2"/>
        <v>Obcy obszar</v>
      </c>
      <c r="L33" t="s">
        <v>571</v>
      </c>
      <c r="M33">
        <v>119.11799999999999</v>
      </c>
      <c r="N33" t="str">
        <f t="shared" si="3"/>
        <v>Area 2-110kV</v>
      </c>
    </row>
    <row r="34" spans="1:14" x14ac:dyDescent="0.25">
      <c r="A34">
        <v>119.12</v>
      </c>
      <c r="B34">
        <f t="shared" si="0"/>
        <v>0</v>
      </c>
      <c r="C34" t="str">
        <f t="shared" si="1"/>
        <v>-</v>
      </c>
      <c r="D34" t="str">
        <f t="shared" si="2"/>
        <v>Obcy obszar</v>
      </c>
      <c r="L34" t="s">
        <v>571</v>
      </c>
      <c r="M34">
        <v>119.12</v>
      </c>
      <c r="N34" t="str">
        <f t="shared" si="3"/>
        <v>Area 2-110kV</v>
      </c>
    </row>
    <row r="35" spans="1:14" x14ac:dyDescent="0.25">
      <c r="A35">
        <v>119.121</v>
      </c>
      <c r="B35">
        <f t="shared" si="0"/>
        <v>0</v>
      </c>
      <c r="C35" t="str">
        <f t="shared" si="1"/>
        <v>-</v>
      </c>
      <c r="D35" t="str">
        <f t="shared" si="2"/>
        <v>Obcy obszar</v>
      </c>
      <c r="L35" t="s">
        <v>571</v>
      </c>
      <c r="M35">
        <v>119.121</v>
      </c>
      <c r="N35" t="str">
        <f t="shared" si="3"/>
        <v>Area 2-110kV</v>
      </c>
    </row>
    <row r="36" spans="1:14" x14ac:dyDescent="0.25">
      <c r="A36">
        <v>122.123</v>
      </c>
      <c r="B36">
        <f t="shared" si="0"/>
        <v>0</v>
      </c>
      <c r="C36" t="str">
        <f t="shared" si="1"/>
        <v>-</v>
      </c>
      <c r="D36" t="str">
        <f t="shared" si="2"/>
        <v>Obcy obszar</v>
      </c>
      <c r="L36" t="s">
        <v>571</v>
      </c>
      <c r="M36">
        <v>122.123</v>
      </c>
      <c r="N36" t="str">
        <f t="shared" si="3"/>
        <v>Area 2-110kV</v>
      </c>
    </row>
    <row r="37" spans="1:14" x14ac:dyDescent="0.25">
      <c r="A37">
        <v>122.184</v>
      </c>
      <c r="B37">
        <f t="shared" si="0"/>
        <v>0</v>
      </c>
      <c r="C37" t="str">
        <f t="shared" si="1"/>
        <v>-</v>
      </c>
      <c r="D37" t="str">
        <f t="shared" si="2"/>
        <v>Obcy obszar</v>
      </c>
      <c r="L37" t="s">
        <v>571</v>
      </c>
      <c r="M37">
        <v>122.184</v>
      </c>
      <c r="N37" t="str">
        <f t="shared" si="3"/>
        <v>Area 2-110kV</v>
      </c>
    </row>
    <row r="38" spans="1:14" x14ac:dyDescent="0.25">
      <c r="A38">
        <v>124.116</v>
      </c>
      <c r="B38">
        <f t="shared" si="0"/>
        <v>0</v>
      </c>
      <c r="C38" t="str">
        <f t="shared" si="1"/>
        <v>-</v>
      </c>
      <c r="D38" t="str">
        <f t="shared" si="2"/>
        <v>Obcy obszar</v>
      </c>
      <c r="L38" t="s">
        <v>571</v>
      </c>
      <c r="M38">
        <v>124.116</v>
      </c>
      <c r="N38" t="str">
        <f t="shared" si="3"/>
        <v>Area 2-110kV</v>
      </c>
    </row>
    <row r="39" spans="1:14" x14ac:dyDescent="0.25">
      <c r="A39">
        <v>124.123</v>
      </c>
      <c r="B39">
        <f t="shared" si="0"/>
        <v>0</v>
      </c>
      <c r="C39" t="str">
        <f t="shared" si="1"/>
        <v>-</v>
      </c>
      <c r="D39" t="str">
        <f t="shared" si="2"/>
        <v>Obcy obszar</v>
      </c>
      <c r="L39" t="s">
        <v>571</v>
      </c>
      <c r="M39">
        <v>124.123</v>
      </c>
      <c r="N39" t="str">
        <f t="shared" si="3"/>
        <v>Area 2-110kV</v>
      </c>
    </row>
    <row r="40" spans="1:14" x14ac:dyDescent="0.25">
      <c r="A40">
        <v>125.122</v>
      </c>
      <c r="B40">
        <f t="shared" si="0"/>
        <v>0</v>
      </c>
      <c r="C40" t="str">
        <f t="shared" si="1"/>
        <v>-</v>
      </c>
      <c r="D40" t="str">
        <f t="shared" si="2"/>
        <v>Obcy obszar</v>
      </c>
      <c r="L40" t="s">
        <v>571</v>
      </c>
      <c r="M40">
        <v>125.122</v>
      </c>
      <c r="N40" t="str">
        <f t="shared" si="3"/>
        <v>Area 2-110kV</v>
      </c>
    </row>
    <row r="41" spans="1:14" x14ac:dyDescent="0.25">
      <c r="A41">
        <v>125.123</v>
      </c>
      <c r="B41">
        <f t="shared" si="0"/>
        <v>0</v>
      </c>
      <c r="C41" t="str">
        <f t="shared" si="1"/>
        <v>-</v>
      </c>
      <c r="D41" t="str">
        <f t="shared" si="2"/>
        <v>Obcy obszar</v>
      </c>
      <c r="L41" t="s">
        <v>571</v>
      </c>
      <c r="M41">
        <v>125.123</v>
      </c>
      <c r="N41" t="str">
        <f t="shared" si="3"/>
        <v>Area 2-110kV</v>
      </c>
    </row>
    <row r="42" spans="1:14" x14ac:dyDescent="0.25">
      <c r="A42">
        <v>126.13200000000001</v>
      </c>
      <c r="B42">
        <f t="shared" si="0"/>
        <v>0</v>
      </c>
      <c r="C42" t="str">
        <f t="shared" si="1"/>
        <v>-</v>
      </c>
      <c r="D42" t="str">
        <f t="shared" si="2"/>
        <v>NIE wyłączać - przesyłowa</v>
      </c>
      <c r="L42" t="s">
        <v>567</v>
      </c>
      <c r="M42">
        <v>126.13200000000001</v>
      </c>
      <c r="N42" t="str">
        <f t="shared" si="3"/>
        <v>220kV</v>
      </c>
    </row>
    <row r="43" spans="1:14" x14ac:dyDescent="0.25">
      <c r="A43">
        <v>126.158</v>
      </c>
      <c r="B43">
        <f t="shared" si="0"/>
        <v>0</v>
      </c>
      <c r="C43" t="str">
        <f t="shared" si="1"/>
        <v>-</v>
      </c>
      <c r="D43" t="str">
        <f t="shared" si="2"/>
        <v>NIE wyłączać - przesyłowa</v>
      </c>
      <c r="L43" t="s">
        <v>567</v>
      </c>
      <c r="M43">
        <v>126.158</v>
      </c>
      <c r="N43" t="str">
        <f t="shared" si="3"/>
        <v>220kV</v>
      </c>
    </row>
    <row r="44" spans="1:14" x14ac:dyDescent="0.25">
      <c r="A44">
        <v>127.126</v>
      </c>
      <c r="B44">
        <f t="shared" si="0"/>
        <v>0</v>
      </c>
      <c r="C44" t="str">
        <f t="shared" si="1"/>
        <v>-</v>
      </c>
      <c r="D44" t="str">
        <f t="shared" si="2"/>
        <v>NIE wyłączać - przesyłowa</v>
      </c>
      <c r="L44" t="s">
        <v>567</v>
      </c>
      <c r="M44">
        <v>127.126</v>
      </c>
      <c r="N44" t="str">
        <f t="shared" si="3"/>
        <v>220kV</v>
      </c>
    </row>
    <row r="45" spans="1:14" x14ac:dyDescent="0.25">
      <c r="A45">
        <v>127.16800000000001</v>
      </c>
      <c r="B45">
        <f t="shared" si="0"/>
        <v>0</v>
      </c>
      <c r="C45" t="str">
        <f t="shared" si="1"/>
        <v>-</v>
      </c>
      <c r="D45" t="str">
        <f t="shared" si="2"/>
        <v>NIE wyłączać - przesyłowa</v>
      </c>
      <c r="L45" t="s">
        <v>567</v>
      </c>
      <c r="M45">
        <v>127.16800000000001</v>
      </c>
      <c r="N45" t="str">
        <f t="shared" si="3"/>
        <v>220kV</v>
      </c>
    </row>
    <row r="46" spans="1:14" x14ac:dyDescent="0.25">
      <c r="A46">
        <v>128.12700000000001</v>
      </c>
      <c r="B46">
        <f t="shared" si="0"/>
        <v>0</v>
      </c>
      <c r="C46" t="str">
        <f t="shared" si="1"/>
        <v>-</v>
      </c>
      <c r="D46" t="str">
        <f t="shared" si="2"/>
        <v>NIE wyłączać - przesyłowa</v>
      </c>
      <c r="L46" t="s">
        <v>567</v>
      </c>
      <c r="M46">
        <v>128.12700000000001</v>
      </c>
      <c r="N46" t="str">
        <f t="shared" si="3"/>
        <v>220kV</v>
      </c>
    </row>
    <row r="47" spans="1:14" x14ac:dyDescent="0.25">
      <c r="A47">
        <v>128.13</v>
      </c>
      <c r="B47">
        <f t="shared" si="0"/>
        <v>0</v>
      </c>
      <c r="C47" t="str">
        <f t="shared" si="1"/>
        <v>-</v>
      </c>
      <c r="D47" t="str">
        <f t="shared" si="2"/>
        <v>NIE wyłączać - przesyłowa</v>
      </c>
      <c r="L47" t="s">
        <v>567</v>
      </c>
      <c r="M47">
        <v>128.13</v>
      </c>
      <c r="N47" t="str">
        <f t="shared" si="3"/>
        <v>220kV</v>
      </c>
    </row>
    <row r="48" spans="1:14" x14ac:dyDescent="0.25">
      <c r="A48">
        <v>128.13300000000001</v>
      </c>
      <c r="B48">
        <f t="shared" si="0"/>
        <v>0</v>
      </c>
      <c r="C48" t="str">
        <f t="shared" si="1"/>
        <v>-</v>
      </c>
      <c r="D48" t="str">
        <f t="shared" si="2"/>
        <v>NIE wyłączać - przesyłowa</v>
      </c>
      <c r="L48" t="s">
        <v>567</v>
      </c>
      <c r="M48">
        <v>128.13300000000001</v>
      </c>
      <c r="N48" t="str">
        <f t="shared" si="3"/>
        <v>220kV</v>
      </c>
    </row>
    <row r="49" spans="1:14" x14ac:dyDescent="0.25">
      <c r="A49">
        <v>129.126</v>
      </c>
      <c r="B49">
        <f t="shared" si="0"/>
        <v>0</v>
      </c>
      <c r="C49" t="str">
        <f t="shared" si="1"/>
        <v>-</v>
      </c>
      <c r="D49" t="str">
        <f t="shared" si="2"/>
        <v>NIE wyłączać - przesyłowa</v>
      </c>
      <c r="L49" t="s">
        <v>567</v>
      </c>
      <c r="M49">
        <v>129.126</v>
      </c>
      <c r="N49" t="str">
        <f t="shared" si="3"/>
        <v>220kV</v>
      </c>
    </row>
    <row r="50" spans="1:14" x14ac:dyDescent="0.25">
      <c r="A50">
        <v>129.13300000000001</v>
      </c>
      <c r="B50">
        <f t="shared" si="0"/>
        <v>0</v>
      </c>
      <c r="C50" t="str">
        <f t="shared" si="1"/>
        <v>-</v>
      </c>
      <c r="D50" t="str">
        <f t="shared" si="2"/>
        <v>NIE wyłączać - przesyłowa</v>
      </c>
      <c r="L50" t="s">
        <v>567</v>
      </c>
      <c r="M50">
        <v>129.13300000000001</v>
      </c>
      <c r="N50" t="str">
        <f t="shared" si="3"/>
        <v>220kV</v>
      </c>
    </row>
    <row r="51" spans="1:14" x14ac:dyDescent="0.25">
      <c r="A51">
        <v>13.11</v>
      </c>
      <c r="B51">
        <f t="shared" si="0"/>
        <v>1</v>
      </c>
      <c r="C51">
        <f t="shared" si="1"/>
        <v>1</v>
      </c>
      <c r="D51" t="str">
        <f t="shared" si="2"/>
        <v>Możliwa do wyłączenia</v>
      </c>
      <c r="L51" t="s">
        <v>570</v>
      </c>
      <c r="M51">
        <v>13.11</v>
      </c>
      <c r="N51" t="str">
        <f t="shared" si="3"/>
        <v>Area 1-110kV</v>
      </c>
    </row>
    <row r="52" spans="1:14" x14ac:dyDescent="0.25">
      <c r="A52">
        <v>13.2</v>
      </c>
      <c r="B52">
        <f t="shared" si="0"/>
        <v>1</v>
      </c>
      <c r="C52">
        <f t="shared" si="1"/>
        <v>1</v>
      </c>
      <c r="D52" t="str">
        <f t="shared" si="2"/>
        <v>Możliwa do wyłączenia</v>
      </c>
      <c r="L52" t="s">
        <v>570</v>
      </c>
      <c r="M52">
        <v>13.2</v>
      </c>
      <c r="N52" t="str">
        <f t="shared" si="3"/>
        <v>Area 1-110kV</v>
      </c>
    </row>
    <row r="53" spans="1:14" x14ac:dyDescent="0.25">
      <c r="A53">
        <v>130.12899999999999</v>
      </c>
      <c r="B53">
        <f t="shared" si="0"/>
        <v>0</v>
      </c>
      <c r="C53" t="str">
        <f t="shared" si="1"/>
        <v>-</v>
      </c>
      <c r="D53" t="str">
        <f t="shared" si="2"/>
        <v>NIE wyłączać - przesyłowa</v>
      </c>
      <c r="L53" t="s">
        <v>567</v>
      </c>
      <c r="M53">
        <v>130.12899999999999</v>
      </c>
      <c r="N53" t="str">
        <f t="shared" si="3"/>
        <v>220kV</v>
      </c>
    </row>
    <row r="54" spans="1:14" x14ac:dyDescent="0.25">
      <c r="A54">
        <v>130.13200000000001</v>
      </c>
      <c r="B54">
        <f t="shared" si="0"/>
        <v>0</v>
      </c>
      <c r="C54" t="str">
        <f t="shared" si="1"/>
        <v>-</v>
      </c>
      <c r="D54" t="str">
        <f t="shared" si="2"/>
        <v>NIE wyłączać - przesyłowa</v>
      </c>
      <c r="L54" t="s">
        <v>567</v>
      </c>
      <c r="M54">
        <v>130.13200000000001</v>
      </c>
      <c r="N54" t="str">
        <f t="shared" si="3"/>
        <v>220kV</v>
      </c>
    </row>
    <row r="55" spans="1:14" x14ac:dyDescent="0.25">
      <c r="A55">
        <v>131.13</v>
      </c>
      <c r="B55">
        <f t="shared" si="0"/>
        <v>0</v>
      </c>
      <c r="C55" t="str">
        <f t="shared" si="1"/>
        <v>-</v>
      </c>
      <c r="D55" t="str">
        <f t="shared" si="2"/>
        <v>NIE wyłączać - przesyłowa</v>
      </c>
      <c r="L55" t="s">
        <v>567</v>
      </c>
      <c r="M55">
        <v>131.13</v>
      </c>
      <c r="N55" t="str">
        <f t="shared" si="3"/>
        <v>220kV</v>
      </c>
    </row>
    <row r="56" spans="1:14" x14ac:dyDescent="0.25">
      <c r="A56">
        <v>131.69999999999999</v>
      </c>
      <c r="B56">
        <f t="shared" si="0"/>
        <v>0</v>
      </c>
      <c r="C56" t="str">
        <f t="shared" si="1"/>
        <v>-</v>
      </c>
      <c r="D56" t="str">
        <f t="shared" si="2"/>
        <v>NIE wyłączać - przesyłowa</v>
      </c>
      <c r="L56" t="s">
        <v>567</v>
      </c>
      <c r="M56">
        <v>131.69999999999999</v>
      </c>
      <c r="N56" t="str">
        <f t="shared" si="3"/>
        <v>220kV</v>
      </c>
    </row>
    <row r="57" spans="1:14" x14ac:dyDescent="0.25">
      <c r="A57">
        <v>133.137</v>
      </c>
      <c r="B57">
        <f t="shared" si="0"/>
        <v>0</v>
      </c>
      <c r="C57" t="str">
        <f t="shared" si="1"/>
        <v>-</v>
      </c>
      <c r="D57" t="str">
        <f t="shared" si="2"/>
        <v>NIE wyłączać - przesyłowa</v>
      </c>
      <c r="L57" t="s">
        <v>567</v>
      </c>
      <c r="M57">
        <v>133.137</v>
      </c>
      <c r="N57" t="str">
        <f t="shared" si="3"/>
        <v>220kV</v>
      </c>
    </row>
    <row r="58" spans="1:14" x14ac:dyDescent="0.25">
      <c r="A58">
        <v>133.16900000000001</v>
      </c>
      <c r="B58">
        <f t="shared" si="0"/>
        <v>0</v>
      </c>
      <c r="C58" t="str">
        <f t="shared" si="1"/>
        <v>-</v>
      </c>
      <c r="D58" t="str">
        <f t="shared" si="2"/>
        <v>NIE wyłączać - przesyłowa</v>
      </c>
      <c r="L58" t="s">
        <v>567</v>
      </c>
      <c r="M58">
        <v>133.16900000000001</v>
      </c>
      <c r="N58" t="str">
        <f t="shared" si="3"/>
        <v>220kV</v>
      </c>
    </row>
    <row r="59" spans="1:14" x14ac:dyDescent="0.25">
      <c r="A59">
        <v>1331.1411000000001</v>
      </c>
      <c r="B59">
        <f t="shared" si="0"/>
        <v>0</v>
      </c>
      <c r="C59" t="str">
        <f t="shared" si="1"/>
        <v>-</v>
      </c>
      <c r="D59" t="str">
        <f t="shared" si="2"/>
        <v>NIE wyłączać - przesyłowa</v>
      </c>
      <c r="L59" t="s">
        <v>568</v>
      </c>
      <c r="M59">
        <v>1331.1411000000001</v>
      </c>
      <c r="N59" t="str">
        <f t="shared" si="3"/>
        <v>400kV</v>
      </c>
    </row>
    <row r="60" spans="1:14" x14ac:dyDescent="0.25">
      <c r="A60">
        <v>1331.1981000000001</v>
      </c>
      <c r="B60">
        <f t="shared" si="0"/>
        <v>0</v>
      </c>
      <c r="C60" t="str">
        <f t="shared" si="1"/>
        <v>-</v>
      </c>
      <c r="D60" t="str">
        <f t="shared" si="2"/>
        <v>NIE wyłączać - przesyłowa</v>
      </c>
      <c r="L60" t="s">
        <v>568</v>
      </c>
      <c r="M60">
        <v>1331.1981000000001</v>
      </c>
      <c r="N60" t="str">
        <f t="shared" si="3"/>
        <v>400kV</v>
      </c>
    </row>
    <row r="61" spans="1:14" x14ac:dyDescent="0.25">
      <c r="A61">
        <v>1331.231</v>
      </c>
      <c r="B61">
        <f t="shared" si="0"/>
        <v>0</v>
      </c>
      <c r="C61" t="str">
        <f t="shared" si="1"/>
        <v>-</v>
      </c>
      <c r="D61" t="str">
        <f t="shared" si="2"/>
        <v>NIE wyłączać - przesyłowa</v>
      </c>
      <c r="L61" t="s">
        <v>568</v>
      </c>
      <c r="M61">
        <v>1331.231</v>
      </c>
      <c r="N61" t="str">
        <f t="shared" si="3"/>
        <v>400kV</v>
      </c>
    </row>
    <row r="62" spans="1:14" x14ac:dyDescent="0.25">
      <c r="A62">
        <v>134.12700000000001</v>
      </c>
      <c r="B62">
        <f t="shared" si="0"/>
        <v>0</v>
      </c>
      <c r="C62" t="str">
        <f t="shared" si="1"/>
        <v>-</v>
      </c>
      <c r="D62" t="str">
        <f t="shared" si="2"/>
        <v>NIE wyłączać - przesyłowa</v>
      </c>
      <c r="L62" t="s">
        <v>567</v>
      </c>
      <c r="M62">
        <v>134.12700000000001</v>
      </c>
      <c r="N62" t="str">
        <f t="shared" si="3"/>
        <v>220kV</v>
      </c>
    </row>
    <row r="63" spans="1:14" x14ac:dyDescent="0.25">
      <c r="A63">
        <v>135.13399999999999</v>
      </c>
      <c r="B63">
        <f t="shared" si="0"/>
        <v>0</v>
      </c>
      <c r="C63" t="str">
        <f t="shared" si="1"/>
        <v>-</v>
      </c>
      <c r="D63" t="str">
        <f t="shared" si="2"/>
        <v>NIE wyłączać - przesyłowa</v>
      </c>
      <c r="L63" t="s">
        <v>567</v>
      </c>
      <c r="M63">
        <v>135.13399999999999</v>
      </c>
      <c r="N63" t="str">
        <f t="shared" si="3"/>
        <v>220kV</v>
      </c>
    </row>
    <row r="64" spans="1:14" x14ac:dyDescent="0.25">
      <c r="A64">
        <v>136.13499999999999</v>
      </c>
      <c r="B64">
        <f t="shared" si="0"/>
        <v>0</v>
      </c>
      <c r="C64" t="str">
        <f t="shared" si="1"/>
        <v>-</v>
      </c>
      <c r="D64" t="str">
        <f t="shared" si="2"/>
        <v>NIE wyłączać - przesyłowa</v>
      </c>
      <c r="L64" t="s">
        <v>567</v>
      </c>
      <c r="M64">
        <v>136.13499999999999</v>
      </c>
      <c r="N64" t="str">
        <f t="shared" si="3"/>
        <v>220kV</v>
      </c>
    </row>
    <row r="65" spans="1:14" x14ac:dyDescent="0.25">
      <c r="A65">
        <v>136.137</v>
      </c>
      <c r="B65">
        <f t="shared" si="0"/>
        <v>0</v>
      </c>
      <c r="C65" t="str">
        <f t="shared" si="1"/>
        <v>-</v>
      </c>
      <c r="D65" t="str">
        <f t="shared" si="2"/>
        <v>NIE wyłączać - przesyłowa</v>
      </c>
      <c r="L65" t="s">
        <v>567</v>
      </c>
      <c r="M65">
        <v>136.137</v>
      </c>
      <c r="N65" t="str">
        <f t="shared" si="3"/>
        <v>220kV</v>
      </c>
    </row>
    <row r="66" spans="1:14" x14ac:dyDescent="0.25">
      <c r="A66">
        <v>137.18100000000001</v>
      </c>
      <c r="B66">
        <f t="shared" ref="B66:B129" si="4">_xlfn.XLOOKUP($N66,$P$2:$P$13,$Q$2:$Q$13)</f>
        <v>0</v>
      </c>
      <c r="C66" t="str">
        <f t="shared" ref="C66:C129" si="5">_xlfn.XLOOKUP($N66,$P$2:$P$13,$R$2:$R$13)</f>
        <v>-</v>
      </c>
      <c r="D66" t="str">
        <f t="shared" ref="D66:D129" si="6">_xlfn.XLOOKUP($N66,$P$2:$P$13,$S$2:$S$13)</f>
        <v>NIE wyłączać - przesyłowa</v>
      </c>
      <c r="L66" t="s">
        <v>567</v>
      </c>
      <c r="M66">
        <v>137.18100000000001</v>
      </c>
      <c r="N66" t="str">
        <f t="shared" si="3"/>
        <v>220kV</v>
      </c>
    </row>
    <row r="67" spans="1:14" x14ac:dyDescent="0.25">
      <c r="A67">
        <v>137.18600000000001</v>
      </c>
      <c r="B67">
        <f t="shared" si="4"/>
        <v>0</v>
      </c>
      <c r="C67" t="str">
        <f t="shared" si="5"/>
        <v>-</v>
      </c>
      <c r="D67" t="str">
        <f t="shared" si="6"/>
        <v>NIE wyłączać - przesyłowa</v>
      </c>
      <c r="L67" t="s">
        <v>567</v>
      </c>
      <c r="M67">
        <v>137.18600000000001</v>
      </c>
      <c r="N67" t="str">
        <f t="shared" ref="N67:N130" si="7">_xlfn.XLOOKUP(M67,$I$8:$I$15,$J$8:$J$15,L67)</f>
        <v>220kV</v>
      </c>
    </row>
    <row r="68" spans="1:14" x14ac:dyDescent="0.25">
      <c r="A68">
        <v>138.18799999999999</v>
      </c>
      <c r="B68">
        <f t="shared" si="4"/>
        <v>0</v>
      </c>
      <c r="C68" t="str">
        <f t="shared" si="5"/>
        <v>-</v>
      </c>
      <c r="D68" t="str">
        <f t="shared" si="6"/>
        <v>NIE wyłączać - przesyłowa</v>
      </c>
      <c r="L68" t="s">
        <v>567</v>
      </c>
      <c r="M68">
        <v>138.18799999999999</v>
      </c>
      <c r="N68" t="str">
        <f t="shared" si="7"/>
        <v>220kV</v>
      </c>
    </row>
    <row r="69" spans="1:14" x14ac:dyDescent="0.25">
      <c r="A69">
        <v>14.15</v>
      </c>
      <c r="B69">
        <f t="shared" si="4"/>
        <v>1</v>
      </c>
      <c r="C69">
        <f t="shared" si="5"/>
        <v>1</v>
      </c>
      <c r="D69" t="str">
        <f t="shared" si="6"/>
        <v>Możliwa do wyłączenia</v>
      </c>
      <c r="L69" t="s">
        <v>570</v>
      </c>
      <c r="M69">
        <v>14.15</v>
      </c>
      <c r="N69" t="str">
        <f t="shared" si="7"/>
        <v>Area 1-110kV</v>
      </c>
    </row>
    <row r="70" spans="1:14" x14ac:dyDescent="0.25">
      <c r="A70">
        <v>140.137</v>
      </c>
      <c r="B70">
        <f t="shared" si="4"/>
        <v>0</v>
      </c>
      <c r="C70" t="str">
        <f t="shared" si="5"/>
        <v>-</v>
      </c>
      <c r="D70" t="str">
        <f t="shared" si="6"/>
        <v>NIE wyłączać - przesyłowa</v>
      </c>
      <c r="L70" t="s">
        <v>567</v>
      </c>
      <c r="M70">
        <v>140.137</v>
      </c>
      <c r="N70" t="str">
        <f t="shared" si="7"/>
        <v>220kV</v>
      </c>
    </row>
    <row r="71" spans="1:14" x14ac:dyDescent="0.25">
      <c r="A71">
        <v>140.14099999999999</v>
      </c>
      <c r="B71">
        <f t="shared" si="4"/>
        <v>0</v>
      </c>
      <c r="C71" t="str">
        <f t="shared" si="5"/>
        <v>-</v>
      </c>
      <c r="D71" t="str">
        <f t="shared" si="6"/>
        <v>NIE wyłączać - przesyłowa</v>
      </c>
      <c r="L71" t="s">
        <v>567</v>
      </c>
      <c r="M71">
        <v>140.14099999999999</v>
      </c>
      <c r="N71" t="str">
        <f t="shared" si="7"/>
        <v>220kV</v>
      </c>
    </row>
    <row r="72" spans="1:14" x14ac:dyDescent="0.25">
      <c r="A72">
        <v>140.14500000000001</v>
      </c>
      <c r="B72">
        <f t="shared" si="4"/>
        <v>0</v>
      </c>
      <c r="C72" t="str">
        <f t="shared" si="5"/>
        <v>-</v>
      </c>
      <c r="D72" t="str">
        <f t="shared" si="6"/>
        <v>NIE wyłączać - przesyłowa</v>
      </c>
      <c r="L72" t="s">
        <v>567</v>
      </c>
      <c r="M72">
        <v>140.14500000000001</v>
      </c>
      <c r="N72" t="str">
        <f t="shared" si="7"/>
        <v>220kV</v>
      </c>
    </row>
    <row r="73" spans="1:14" x14ac:dyDescent="0.25">
      <c r="A73">
        <v>141.14599999999999</v>
      </c>
      <c r="B73">
        <f t="shared" si="4"/>
        <v>0</v>
      </c>
      <c r="C73" t="str">
        <f t="shared" si="5"/>
        <v>-</v>
      </c>
      <c r="D73" t="str">
        <f t="shared" si="6"/>
        <v>NIE wyłączać - przesyłowa</v>
      </c>
      <c r="L73" t="s">
        <v>567</v>
      </c>
      <c r="M73">
        <v>141.14599999999999</v>
      </c>
      <c r="N73" t="str">
        <f t="shared" si="7"/>
        <v>220kV</v>
      </c>
    </row>
    <row r="74" spans="1:14" x14ac:dyDescent="0.25">
      <c r="A74">
        <v>1411.3710000000001</v>
      </c>
      <c r="B74">
        <f t="shared" si="4"/>
        <v>0</v>
      </c>
      <c r="C74" t="str">
        <f t="shared" si="5"/>
        <v>-</v>
      </c>
      <c r="D74" t="str">
        <f t="shared" si="6"/>
        <v>NIE wyłączać - przesyłowa</v>
      </c>
      <c r="L74" t="s">
        <v>568</v>
      </c>
      <c r="M74">
        <v>1411.3710000000001</v>
      </c>
      <c r="N74" t="str">
        <f t="shared" si="7"/>
        <v>400kV</v>
      </c>
    </row>
    <row r="75" spans="1:14" x14ac:dyDescent="0.25">
      <c r="A75">
        <v>1411.81</v>
      </c>
      <c r="B75">
        <f t="shared" si="4"/>
        <v>0</v>
      </c>
      <c r="C75" t="str">
        <f t="shared" si="5"/>
        <v>-</v>
      </c>
      <c r="D75" t="str">
        <f t="shared" si="6"/>
        <v>NIE wyłączać - przesyłowa</v>
      </c>
      <c r="L75" t="s">
        <v>568</v>
      </c>
      <c r="M75">
        <v>1411.81</v>
      </c>
      <c r="N75" t="str">
        <f t="shared" si="7"/>
        <v>400kV</v>
      </c>
    </row>
    <row r="76" spans="1:14" x14ac:dyDescent="0.25">
      <c r="A76">
        <v>142.13999999999999</v>
      </c>
      <c r="B76">
        <f t="shared" si="4"/>
        <v>0</v>
      </c>
      <c r="C76" t="str">
        <f t="shared" si="5"/>
        <v>-</v>
      </c>
      <c r="D76" t="str">
        <f t="shared" si="6"/>
        <v>NIE wyłączać - przesyłowa</v>
      </c>
      <c r="L76" t="s">
        <v>567</v>
      </c>
      <c r="M76">
        <v>142.13999999999999</v>
      </c>
      <c r="N76" t="str">
        <f t="shared" si="7"/>
        <v>220kV</v>
      </c>
    </row>
    <row r="77" spans="1:14" x14ac:dyDescent="0.25">
      <c r="A77">
        <v>142.143</v>
      </c>
      <c r="B77">
        <f t="shared" si="4"/>
        <v>0</v>
      </c>
      <c r="C77" t="str">
        <f t="shared" si="5"/>
        <v>-</v>
      </c>
      <c r="D77" t="str">
        <f t="shared" si="6"/>
        <v>NIE wyłączać - przesyłowa</v>
      </c>
      <c r="L77" t="s">
        <v>567</v>
      </c>
      <c r="M77">
        <v>142.143</v>
      </c>
      <c r="N77" t="str">
        <f t="shared" si="7"/>
        <v>220kV</v>
      </c>
    </row>
    <row r="78" spans="1:14" x14ac:dyDescent="0.25">
      <c r="A78">
        <v>143.14400000000001</v>
      </c>
      <c r="B78">
        <f t="shared" si="4"/>
        <v>0</v>
      </c>
      <c r="C78" t="str">
        <f t="shared" si="5"/>
        <v>-</v>
      </c>
      <c r="D78" t="str">
        <f t="shared" si="6"/>
        <v>NIE wyłączać - przesyłowa</v>
      </c>
      <c r="L78" t="s">
        <v>567</v>
      </c>
      <c r="M78">
        <v>143.14400000000001</v>
      </c>
      <c r="N78" t="str">
        <f t="shared" si="7"/>
        <v>220kV</v>
      </c>
    </row>
    <row r="79" spans="1:14" x14ac:dyDescent="0.25">
      <c r="A79">
        <v>144.62</v>
      </c>
      <c r="B79">
        <f t="shared" si="4"/>
        <v>0</v>
      </c>
      <c r="C79" t="str">
        <f t="shared" si="5"/>
        <v>-</v>
      </c>
      <c r="D79" t="str">
        <f t="shared" si="6"/>
        <v>NIE wyłączać - przesyłowa</v>
      </c>
      <c r="L79" t="s">
        <v>567</v>
      </c>
      <c r="M79">
        <v>144.62</v>
      </c>
      <c r="N79" t="str">
        <f t="shared" si="7"/>
        <v>220kV</v>
      </c>
    </row>
    <row r="80" spans="1:14" x14ac:dyDescent="0.25">
      <c r="A80">
        <v>145.143</v>
      </c>
      <c r="B80">
        <f t="shared" si="4"/>
        <v>0</v>
      </c>
      <c r="C80" t="str">
        <f t="shared" si="5"/>
        <v>-</v>
      </c>
      <c r="D80" t="str">
        <f t="shared" si="6"/>
        <v>NIE wyłączać - przesyłowa</v>
      </c>
      <c r="L80" t="s">
        <v>567</v>
      </c>
      <c r="M80">
        <v>145.143</v>
      </c>
      <c r="N80" t="str">
        <f t="shared" si="7"/>
        <v>220kV</v>
      </c>
    </row>
    <row r="81" spans="1:14" x14ac:dyDescent="0.25">
      <c r="A81">
        <v>145.149</v>
      </c>
      <c r="B81">
        <f t="shared" si="4"/>
        <v>0</v>
      </c>
      <c r="C81" t="str">
        <f t="shared" si="5"/>
        <v>-</v>
      </c>
      <c r="D81" t="str">
        <f t="shared" si="6"/>
        <v>NIE wyłączać - przesyłowa</v>
      </c>
      <c r="L81" t="s">
        <v>567</v>
      </c>
      <c r="M81">
        <v>145.149</v>
      </c>
      <c r="N81" t="str">
        <f t="shared" si="7"/>
        <v>220kV</v>
      </c>
    </row>
    <row r="82" spans="1:14" x14ac:dyDescent="0.25">
      <c r="A82">
        <v>146.13999999999999</v>
      </c>
      <c r="B82">
        <f t="shared" si="4"/>
        <v>0</v>
      </c>
      <c r="C82" t="str">
        <f t="shared" si="5"/>
        <v>-</v>
      </c>
      <c r="D82" t="str">
        <f t="shared" si="6"/>
        <v>NIE wyłączać - przesyłowa</v>
      </c>
      <c r="L82" t="s">
        <v>567</v>
      </c>
      <c r="M82">
        <v>146.13999999999999</v>
      </c>
      <c r="N82" t="str">
        <f t="shared" si="7"/>
        <v>220kV</v>
      </c>
    </row>
    <row r="83" spans="1:14" x14ac:dyDescent="0.25">
      <c r="A83">
        <v>146.14500000000001</v>
      </c>
      <c r="B83">
        <f t="shared" si="4"/>
        <v>0</v>
      </c>
      <c r="C83" t="str">
        <f t="shared" si="5"/>
        <v>-</v>
      </c>
      <c r="D83" t="str">
        <f t="shared" si="6"/>
        <v>NIE wyłączać - przesyłowa</v>
      </c>
      <c r="L83" t="s">
        <v>567</v>
      </c>
      <c r="M83">
        <v>146.14500000000001</v>
      </c>
      <c r="N83" t="str">
        <f t="shared" si="7"/>
        <v>220kV</v>
      </c>
    </row>
    <row r="84" spans="1:14" x14ac:dyDescent="0.25">
      <c r="A84">
        <v>146.14699999999999</v>
      </c>
      <c r="B84">
        <f t="shared" si="4"/>
        <v>0</v>
      </c>
      <c r="C84" t="str">
        <f t="shared" si="5"/>
        <v>-</v>
      </c>
      <c r="D84" t="str">
        <f t="shared" si="6"/>
        <v>NIE wyłączać - przesyłowa</v>
      </c>
      <c r="L84" t="s">
        <v>567</v>
      </c>
      <c r="M84">
        <v>146.14699999999999</v>
      </c>
      <c r="N84" t="str">
        <f t="shared" si="7"/>
        <v>220kV</v>
      </c>
    </row>
    <row r="85" spans="1:14" x14ac:dyDescent="0.25">
      <c r="A85">
        <v>147.13999999999999</v>
      </c>
      <c r="B85">
        <f t="shared" si="4"/>
        <v>0</v>
      </c>
      <c r="C85" t="str">
        <f t="shared" si="5"/>
        <v>-</v>
      </c>
      <c r="D85" t="str">
        <f t="shared" si="6"/>
        <v>NIE wyłączać - przesyłowa</v>
      </c>
      <c r="L85" t="s">
        <v>567</v>
      </c>
      <c r="M85">
        <v>147.13999999999999</v>
      </c>
      <c r="N85" t="str">
        <f t="shared" si="7"/>
        <v>220kV</v>
      </c>
    </row>
    <row r="86" spans="1:14" x14ac:dyDescent="0.25">
      <c r="A86">
        <v>148.178</v>
      </c>
      <c r="B86">
        <f t="shared" si="4"/>
        <v>0</v>
      </c>
      <c r="C86" t="str">
        <f t="shared" si="5"/>
        <v>-</v>
      </c>
      <c r="D86" t="str">
        <f t="shared" si="6"/>
        <v>Obcy obszar</v>
      </c>
      <c r="L86" t="s">
        <v>571</v>
      </c>
      <c r="M86">
        <v>148.178</v>
      </c>
      <c r="N86" t="str">
        <f t="shared" si="7"/>
        <v>Area 2-110kV</v>
      </c>
    </row>
    <row r="87" spans="1:14" x14ac:dyDescent="0.25">
      <c r="A87">
        <v>148.179</v>
      </c>
      <c r="B87">
        <f t="shared" si="4"/>
        <v>0</v>
      </c>
      <c r="C87" t="str">
        <f t="shared" si="5"/>
        <v>-</v>
      </c>
      <c r="D87" t="str">
        <f t="shared" si="6"/>
        <v>Obcy obszar</v>
      </c>
      <c r="L87" t="s">
        <v>571</v>
      </c>
      <c r="M87">
        <v>148.179</v>
      </c>
      <c r="N87" t="str">
        <f t="shared" si="7"/>
        <v>Area 2-110kV</v>
      </c>
    </row>
    <row r="88" spans="1:14" x14ac:dyDescent="0.25">
      <c r="A88">
        <v>149.143</v>
      </c>
      <c r="B88">
        <f t="shared" si="4"/>
        <v>0</v>
      </c>
      <c r="C88" t="str">
        <f t="shared" si="5"/>
        <v>-</v>
      </c>
      <c r="D88" t="str">
        <f t="shared" si="6"/>
        <v>NIE wyłączać - przesyłowa</v>
      </c>
      <c r="L88" t="s">
        <v>567</v>
      </c>
      <c r="M88">
        <v>149.143</v>
      </c>
      <c r="N88" t="str">
        <f t="shared" si="7"/>
        <v>220kV</v>
      </c>
    </row>
    <row r="89" spans="1:14" x14ac:dyDescent="0.25">
      <c r="A89">
        <v>15.17</v>
      </c>
      <c r="B89">
        <f t="shared" si="4"/>
        <v>1</v>
      </c>
      <c r="C89">
        <f t="shared" si="5"/>
        <v>1</v>
      </c>
      <c r="D89" t="str">
        <f t="shared" si="6"/>
        <v>Możliwa do wyłączenia</v>
      </c>
      <c r="L89" t="s">
        <v>570</v>
      </c>
      <c r="M89">
        <v>15.17</v>
      </c>
      <c r="N89" t="str">
        <f t="shared" si="7"/>
        <v>Area 1-110kV</v>
      </c>
    </row>
    <row r="90" spans="1:14" x14ac:dyDescent="0.25">
      <c r="A90">
        <v>15.37</v>
      </c>
      <c r="B90">
        <f t="shared" si="4"/>
        <v>1</v>
      </c>
      <c r="C90">
        <f t="shared" si="5"/>
        <v>1</v>
      </c>
      <c r="D90" t="str">
        <f t="shared" si="6"/>
        <v>Możliwa do wyłączenia</v>
      </c>
      <c r="L90" t="s">
        <v>570</v>
      </c>
      <c r="M90">
        <v>15.37</v>
      </c>
      <c r="N90" t="str">
        <f t="shared" si="7"/>
        <v>Area 1-110kV</v>
      </c>
    </row>
    <row r="91" spans="1:14" x14ac:dyDescent="0.25">
      <c r="A91">
        <v>15.9</v>
      </c>
      <c r="B91">
        <f t="shared" si="4"/>
        <v>1</v>
      </c>
      <c r="C91">
        <f t="shared" si="5"/>
        <v>1</v>
      </c>
      <c r="D91" t="str">
        <f t="shared" si="6"/>
        <v>Możliwa do wyłączenia</v>
      </c>
      <c r="L91" t="s">
        <v>570</v>
      </c>
      <c r="M91">
        <v>15.9</v>
      </c>
      <c r="N91" t="str">
        <f t="shared" si="7"/>
        <v>Area 1-110kV</v>
      </c>
    </row>
    <row r="92" spans="1:14" x14ac:dyDescent="0.25">
      <c r="A92">
        <v>150.13</v>
      </c>
      <c r="B92">
        <f t="shared" si="4"/>
        <v>0</v>
      </c>
      <c r="C92" t="str">
        <f t="shared" si="5"/>
        <v>-</v>
      </c>
      <c r="D92" t="str">
        <f t="shared" si="6"/>
        <v>NIE wyłączać - przesyłowa</v>
      </c>
      <c r="L92" t="s">
        <v>567</v>
      </c>
      <c r="M92">
        <v>150.13</v>
      </c>
      <c r="N92" t="str">
        <f t="shared" si="7"/>
        <v>220kV</v>
      </c>
    </row>
    <row r="93" spans="1:14" x14ac:dyDescent="0.25">
      <c r="A93">
        <v>150.30000000000001</v>
      </c>
      <c r="B93">
        <f t="shared" si="4"/>
        <v>0</v>
      </c>
      <c r="C93" t="str">
        <f t="shared" si="5"/>
        <v>-</v>
      </c>
      <c r="D93" t="str">
        <f t="shared" si="6"/>
        <v>NIE wyłączać - przesyłowa</v>
      </c>
      <c r="L93" t="s">
        <v>567</v>
      </c>
      <c r="M93">
        <v>150.30000000000001</v>
      </c>
      <c r="N93" t="str">
        <f t="shared" si="7"/>
        <v>220kV</v>
      </c>
    </row>
    <row r="94" spans="1:14" x14ac:dyDescent="0.25">
      <c r="A94">
        <v>151.13</v>
      </c>
      <c r="B94">
        <f t="shared" si="4"/>
        <v>0</v>
      </c>
      <c r="C94" t="str">
        <f t="shared" si="5"/>
        <v>-</v>
      </c>
      <c r="D94" t="str">
        <f t="shared" si="6"/>
        <v>NIE wyłączać - przesyłowa</v>
      </c>
      <c r="L94" t="s">
        <v>567</v>
      </c>
      <c r="M94">
        <v>151.13</v>
      </c>
      <c r="N94" t="str">
        <f t="shared" si="7"/>
        <v>220kV</v>
      </c>
    </row>
    <row r="95" spans="1:14" x14ac:dyDescent="0.25">
      <c r="A95">
        <v>152.136</v>
      </c>
      <c r="B95">
        <f t="shared" si="4"/>
        <v>0</v>
      </c>
      <c r="C95" t="str">
        <f t="shared" si="5"/>
        <v>-</v>
      </c>
      <c r="D95" t="str">
        <f t="shared" si="6"/>
        <v>NIE wyłączać - przesyłowa</v>
      </c>
      <c r="L95" t="s">
        <v>567</v>
      </c>
      <c r="M95">
        <v>152.136</v>
      </c>
      <c r="N95" t="str">
        <f t="shared" si="7"/>
        <v>220kV</v>
      </c>
    </row>
    <row r="96" spans="1:14" x14ac:dyDescent="0.25">
      <c r="A96">
        <v>153.15199999999999</v>
      </c>
      <c r="B96">
        <f t="shared" si="4"/>
        <v>0</v>
      </c>
      <c r="C96" t="str">
        <f t="shared" si="5"/>
        <v>-</v>
      </c>
      <c r="D96" t="str">
        <f t="shared" si="6"/>
        <v>NIE wyłączać - przesyłowa</v>
      </c>
      <c r="L96" t="s">
        <v>567</v>
      </c>
      <c r="M96">
        <v>153.15199999999999</v>
      </c>
      <c r="N96" t="str">
        <f t="shared" si="7"/>
        <v>220kV</v>
      </c>
    </row>
    <row r="97" spans="1:14" x14ac:dyDescent="0.25">
      <c r="A97">
        <v>153.161</v>
      </c>
      <c r="B97">
        <f t="shared" si="4"/>
        <v>0</v>
      </c>
      <c r="C97" t="str">
        <f t="shared" si="5"/>
        <v>-</v>
      </c>
      <c r="D97" t="str">
        <f t="shared" si="6"/>
        <v>NIE wyłączać - przesyłowa</v>
      </c>
      <c r="L97" t="s">
        <v>567</v>
      </c>
      <c r="M97">
        <v>153.161</v>
      </c>
      <c r="N97" t="str">
        <f t="shared" si="7"/>
        <v>220kV</v>
      </c>
    </row>
    <row r="98" spans="1:14" x14ac:dyDescent="0.25">
      <c r="A98">
        <v>154.15600000000001</v>
      </c>
      <c r="B98">
        <f t="shared" si="4"/>
        <v>0</v>
      </c>
      <c r="C98" t="str">
        <f t="shared" si="5"/>
        <v>-</v>
      </c>
      <c r="D98" t="str">
        <f t="shared" si="6"/>
        <v>Obcy obszar</v>
      </c>
      <c r="L98" t="s">
        <v>571</v>
      </c>
      <c r="M98">
        <v>154.15600000000001</v>
      </c>
      <c r="N98" t="str">
        <f t="shared" si="7"/>
        <v>Area 2-110kV</v>
      </c>
    </row>
    <row r="99" spans="1:14" x14ac:dyDescent="0.25">
      <c r="A99">
        <v>154.18299999999999</v>
      </c>
      <c r="B99">
        <f t="shared" si="4"/>
        <v>0</v>
      </c>
      <c r="C99" t="str">
        <f t="shared" si="5"/>
        <v>-</v>
      </c>
      <c r="D99" t="str">
        <f t="shared" si="6"/>
        <v>Obcy obszar</v>
      </c>
      <c r="L99" t="s">
        <v>571</v>
      </c>
      <c r="M99">
        <v>154.18299999999999</v>
      </c>
      <c r="N99" t="str">
        <f t="shared" si="7"/>
        <v>Area 2-110kV</v>
      </c>
    </row>
    <row r="100" spans="1:14" x14ac:dyDescent="0.25">
      <c r="A100">
        <v>155.161</v>
      </c>
      <c r="B100">
        <f t="shared" si="4"/>
        <v>0</v>
      </c>
      <c r="C100" t="str">
        <f t="shared" si="5"/>
        <v>-</v>
      </c>
      <c r="D100" t="str">
        <f t="shared" si="6"/>
        <v>NIE wyłączać - przesyłowa</v>
      </c>
      <c r="L100" t="s">
        <v>567</v>
      </c>
      <c r="M100">
        <v>155.161</v>
      </c>
      <c r="N100" t="str">
        <f t="shared" si="7"/>
        <v>220kV</v>
      </c>
    </row>
    <row r="101" spans="1:14" x14ac:dyDescent="0.25">
      <c r="A101">
        <v>157.126</v>
      </c>
      <c r="B101">
        <f t="shared" si="4"/>
        <v>0</v>
      </c>
      <c r="C101" t="str">
        <f t="shared" si="5"/>
        <v>-</v>
      </c>
      <c r="D101" t="str">
        <f t="shared" si="6"/>
        <v>NIE wyłączać - przesyłowa</v>
      </c>
      <c r="L101" t="s">
        <v>567</v>
      </c>
      <c r="M101">
        <v>157.126</v>
      </c>
      <c r="N101" t="str">
        <f t="shared" si="7"/>
        <v>220kV</v>
      </c>
    </row>
    <row r="102" spans="1:14" x14ac:dyDescent="0.25">
      <c r="A102">
        <v>158.16</v>
      </c>
      <c r="B102">
        <f t="shared" si="4"/>
        <v>0</v>
      </c>
      <c r="C102" t="str">
        <f t="shared" si="5"/>
        <v>-</v>
      </c>
      <c r="D102" t="str">
        <f t="shared" si="6"/>
        <v>NIE wyłączać - przesyłowa</v>
      </c>
      <c r="L102" t="s">
        <v>567</v>
      </c>
      <c r="M102">
        <v>158.16</v>
      </c>
      <c r="N102" t="str">
        <f t="shared" si="7"/>
        <v>220kV</v>
      </c>
    </row>
    <row r="103" spans="1:14" x14ac:dyDescent="0.25">
      <c r="A103">
        <v>159.15700000000001</v>
      </c>
      <c r="B103">
        <f t="shared" si="4"/>
        <v>0</v>
      </c>
      <c r="C103" t="str">
        <f t="shared" si="5"/>
        <v>-</v>
      </c>
      <c r="D103" t="str">
        <f t="shared" si="6"/>
        <v>NIE wyłączać - przesyłowa</v>
      </c>
      <c r="L103" t="s">
        <v>567</v>
      </c>
      <c r="M103">
        <v>159.15700000000001</v>
      </c>
      <c r="N103" t="str">
        <f t="shared" si="7"/>
        <v>220kV</v>
      </c>
    </row>
    <row r="104" spans="1:14" x14ac:dyDescent="0.25">
      <c r="A104">
        <v>159.15799999999999</v>
      </c>
      <c r="B104">
        <f t="shared" si="4"/>
        <v>0</v>
      </c>
      <c r="C104" t="str">
        <f t="shared" si="5"/>
        <v>-</v>
      </c>
      <c r="D104" t="str">
        <f t="shared" si="6"/>
        <v>NIE wyłączać - przesyłowa</v>
      </c>
      <c r="L104" t="s">
        <v>567</v>
      </c>
      <c r="M104">
        <v>159.15799999999999</v>
      </c>
      <c r="N104" t="str">
        <f t="shared" si="7"/>
        <v>220kV</v>
      </c>
    </row>
    <row r="105" spans="1:14" x14ac:dyDescent="0.25">
      <c r="A105">
        <v>16.399999999999999</v>
      </c>
      <c r="B105">
        <f t="shared" si="4"/>
        <v>0</v>
      </c>
      <c r="C105" t="str">
        <f t="shared" si="5"/>
        <v>-</v>
      </c>
      <c r="D105" t="str">
        <f t="shared" si="6"/>
        <v>NIE wyłączać - przesyłowa</v>
      </c>
      <c r="L105" t="s">
        <v>568</v>
      </c>
      <c r="M105">
        <v>16.399999999999999</v>
      </c>
      <c r="N105" t="str">
        <f t="shared" si="7"/>
        <v>400kV</v>
      </c>
    </row>
    <row r="106" spans="1:14" x14ac:dyDescent="0.25">
      <c r="A106">
        <v>162.16399999999999</v>
      </c>
      <c r="B106">
        <f t="shared" si="4"/>
        <v>0</v>
      </c>
      <c r="C106" t="str">
        <f t="shared" si="5"/>
        <v>-</v>
      </c>
      <c r="D106" t="str">
        <f t="shared" si="6"/>
        <v>NIE wyłączać - przesyłowa</v>
      </c>
      <c r="L106" t="s">
        <v>567</v>
      </c>
      <c r="M106">
        <v>162.16399999999999</v>
      </c>
      <c r="N106" t="str">
        <f t="shared" si="7"/>
        <v>220kV</v>
      </c>
    </row>
    <row r="107" spans="1:14" x14ac:dyDescent="0.25">
      <c r="A107">
        <v>163.137</v>
      </c>
      <c r="B107">
        <f t="shared" si="4"/>
        <v>0</v>
      </c>
      <c r="C107" t="str">
        <f t="shared" si="5"/>
        <v>-</v>
      </c>
      <c r="D107" t="str">
        <f t="shared" si="6"/>
        <v>NIE wyłączać - przesyłowa</v>
      </c>
      <c r="L107" t="s">
        <v>567</v>
      </c>
      <c r="M107">
        <v>163.137</v>
      </c>
      <c r="N107" t="str">
        <f t="shared" si="7"/>
        <v>220kV</v>
      </c>
    </row>
    <row r="108" spans="1:14" x14ac:dyDescent="0.25">
      <c r="A108">
        <v>164.155</v>
      </c>
      <c r="B108">
        <f t="shared" si="4"/>
        <v>0</v>
      </c>
      <c r="C108" t="str">
        <f t="shared" si="5"/>
        <v>-</v>
      </c>
      <c r="D108" t="str">
        <f t="shared" si="6"/>
        <v>NIE wyłączać - przesyłowa</v>
      </c>
      <c r="L108" t="s">
        <v>567</v>
      </c>
      <c r="M108">
        <v>164.155</v>
      </c>
      <c r="N108" t="str">
        <f t="shared" si="7"/>
        <v>220kV</v>
      </c>
    </row>
    <row r="109" spans="1:14" x14ac:dyDescent="0.25">
      <c r="A109">
        <v>164.16300000000001</v>
      </c>
      <c r="B109">
        <f t="shared" si="4"/>
        <v>0</v>
      </c>
      <c r="C109" t="str">
        <f t="shared" si="5"/>
        <v>-</v>
      </c>
      <c r="D109" t="str">
        <f t="shared" si="6"/>
        <v>NIE wyłączać - przesyłowa</v>
      </c>
      <c r="L109" t="s">
        <v>567</v>
      </c>
      <c r="M109">
        <v>164.16300000000001</v>
      </c>
      <c r="N109" t="str">
        <f t="shared" si="7"/>
        <v>220kV</v>
      </c>
    </row>
    <row r="110" spans="1:14" x14ac:dyDescent="0.25">
      <c r="A110">
        <v>165.16200000000001</v>
      </c>
      <c r="B110">
        <f t="shared" si="4"/>
        <v>0</v>
      </c>
      <c r="C110" t="str">
        <f t="shared" si="5"/>
        <v>-</v>
      </c>
      <c r="D110" t="str">
        <f t="shared" si="6"/>
        <v>NIE wyłączać - przesyłowa</v>
      </c>
      <c r="L110" t="s">
        <v>567</v>
      </c>
      <c r="M110">
        <v>165.16200000000001</v>
      </c>
      <c r="N110" t="str">
        <f t="shared" si="7"/>
        <v>220kV</v>
      </c>
    </row>
    <row r="111" spans="1:14" x14ac:dyDescent="0.25">
      <c r="A111">
        <v>166.16499999999999</v>
      </c>
      <c r="B111">
        <f t="shared" si="4"/>
        <v>0</v>
      </c>
      <c r="C111" t="str">
        <f t="shared" si="5"/>
        <v>-</v>
      </c>
      <c r="D111" t="str">
        <f t="shared" si="6"/>
        <v>NIE wyłączać - przesyłowa</v>
      </c>
      <c r="L111" t="s">
        <v>567</v>
      </c>
      <c r="M111">
        <v>166.16499999999999</v>
      </c>
      <c r="N111" t="str">
        <f t="shared" si="7"/>
        <v>220kV</v>
      </c>
    </row>
    <row r="112" spans="1:14" x14ac:dyDescent="0.25">
      <c r="A112">
        <v>167.13</v>
      </c>
      <c r="B112">
        <f t="shared" si="4"/>
        <v>0</v>
      </c>
      <c r="C112" t="str">
        <f t="shared" si="5"/>
        <v>-</v>
      </c>
      <c r="D112" t="str">
        <f t="shared" si="6"/>
        <v>NIE wyłączać - przesyłowa</v>
      </c>
      <c r="L112" t="s">
        <v>567</v>
      </c>
      <c r="M112">
        <v>167.13</v>
      </c>
      <c r="N112" t="str">
        <f t="shared" si="7"/>
        <v>220kV</v>
      </c>
    </row>
    <row r="113" spans="1:14" x14ac:dyDescent="0.25">
      <c r="A113">
        <v>167.16900000000001</v>
      </c>
      <c r="B113">
        <f t="shared" si="4"/>
        <v>0</v>
      </c>
      <c r="C113" t="str">
        <f t="shared" si="5"/>
        <v>-</v>
      </c>
      <c r="D113" t="str">
        <f t="shared" si="6"/>
        <v>NIE wyłączać - przesyłowa</v>
      </c>
      <c r="L113" t="s">
        <v>567</v>
      </c>
      <c r="M113">
        <v>167.16900000000001</v>
      </c>
      <c r="N113" t="str">
        <f t="shared" si="7"/>
        <v>220kV</v>
      </c>
    </row>
    <row r="114" spans="1:14" x14ac:dyDescent="0.25">
      <c r="A114">
        <v>168.13</v>
      </c>
      <c r="B114">
        <f t="shared" si="4"/>
        <v>0</v>
      </c>
      <c r="C114" t="str">
        <f t="shared" si="5"/>
        <v>-</v>
      </c>
      <c r="D114" t="str">
        <f t="shared" si="6"/>
        <v>NIE wyłączać - przesyłowa</v>
      </c>
      <c r="L114" t="s">
        <v>567</v>
      </c>
      <c r="M114">
        <v>168.13</v>
      </c>
      <c r="N114" t="str">
        <f t="shared" si="7"/>
        <v>220kV</v>
      </c>
    </row>
    <row r="115" spans="1:14" x14ac:dyDescent="0.25">
      <c r="A115">
        <v>168.13300000000001</v>
      </c>
      <c r="B115">
        <f t="shared" si="4"/>
        <v>0</v>
      </c>
      <c r="C115" t="str">
        <f t="shared" si="5"/>
        <v>-</v>
      </c>
      <c r="D115" t="str">
        <f t="shared" si="6"/>
        <v>NIE wyłączać - przesyłowa</v>
      </c>
      <c r="L115" t="s">
        <v>567</v>
      </c>
      <c r="M115">
        <v>168.13300000000001</v>
      </c>
      <c r="N115" t="str">
        <f t="shared" si="7"/>
        <v>220kV</v>
      </c>
    </row>
    <row r="116" spans="1:14" x14ac:dyDescent="0.25">
      <c r="A116">
        <v>169.126</v>
      </c>
      <c r="B116">
        <f t="shared" si="4"/>
        <v>0</v>
      </c>
      <c r="C116" t="str">
        <f t="shared" si="5"/>
        <v>-</v>
      </c>
      <c r="D116" t="str">
        <f t="shared" si="6"/>
        <v>NIE wyłączać - przesyłowa</v>
      </c>
      <c r="L116" t="s">
        <v>567</v>
      </c>
      <c r="M116">
        <v>169.126</v>
      </c>
      <c r="N116" t="str">
        <f t="shared" si="7"/>
        <v>220kV</v>
      </c>
    </row>
    <row r="117" spans="1:14" x14ac:dyDescent="0.25">
      <c r="A117">
        <v>17.18</v>
      </c>
      <c r="B117">
        <f t="shared" si="4"/>
        <v>1</v>
      </c>
      <c r="C117">
        <f t="shared" si="5"/>
        <v>1</v>
      </c>
      <c r="D117" t="str">
        <f t="shared" si="6"/>
        <v>Możliwa do wyłączenia</v>
      </c>
      <c r="L117" t="s">
        <v>570</v>
      </c>
      <c r="M117">
        <v>17.18</v>
      </c>
      <c r="N117" t="str">
        <f t="shared" si="7"/>
        <v>Area 1-110kV</v>
      </c>
    </row>
    <row r="118" spans="1:14" x14ac:dyDescent="0.25">
      <c r="A118">
        <v>171.13300000000001</v>
      </c>
      <c r="B118">
        <f t="shared" si="4"/>
        <v>0</v>
      </c>
      <c r="C118" t="str">
        <f t="shared" si="5"/>
        <v>-</v>
      </c>
      <c r="D118" t="str">
        <f t="shared" si="6"/>
        <v>NIE wyłączać - przesyłowa</v>
      </c>
      <c r="L118" t="s">
        <v>567</v>
      </c>
      <c r="M118">
        <v>171.13300000000001</v>
      </c>
      <c r="N118" t="str">
        <f t="shared" si="7"/>
        <v>220kV</v>
      </c>
    </row>
    <row r="119" spans="1:14" x14ac:dyDescent="0.25">
      <c r="A119">
        <v>172.13900000000001</v>
      </c>
      <c r="B119">
        <f t="shared" si="4"/>
        <v>0</v>
      </c>
      <c r="C119" t="str">
        <f t="shared" si="5"/>
        <v>-</v>
      </c>
      <c r="D119" t="str">
        <f t="shared" si="6"/>
        <v>Obcy obszar</v>
      </c>
      <c r="L119" t="s">
        <v>571</v>
      </c>
      <c r="M119">
        <v>172.13900000000001</v>
      </c>
      <c r="N119" t="str">
        <f t="shared" si="7"/>
        <v>Area 2-110kV</v>
      </c>
    </row>
    <row r="120" spans="1:14" x14ac:dyDescent="0.25">
      <c r="A120">
        <v>172.17400000000001</v>
      </c>
      <c r="B120">
        <f t="shared" si="4"/>
        <v>0</v>
      </c>
      <c r="C120" t="str">
        <f t="shared" si="5"/>
        <v>-</v>
      </c>
      <c r="D120" t="str">
        <f t="shared" si="6"/>
        <v>Obcy obszar</v>
      </c>
      <c r="L120" t="s">
        <v>571</v>
      </c>
      <c r="M120">
        <v>172.17400000000001</v>
      </c>
      <c r="N120" t="str">
        <f t="shared" si="7"/>
        <v>Area 2-110kV</v>
      </c>
    </row>
    <row r="121" spans="1:14" x14ac:dyDescent="0.25">
      <c r="A121">
        <v>173.172</v>
      </c>
      <c r="B121">
        <f t="shared" si="4"/>
        <v>0</v>
      </c>
      <c r="C121" t="str">
        <f t="shared" si="5"/>
        <v>-</v>
      </c>
      <c r="D121" t="str">
        <f t="shared" si="6"/>
        <v>Obcy obszar</v>
      </c>
      <c r="L121" t="s">
        <v>571</v>
      </c>
      <c r="M121">
        <v>173.172</v>
      </c>
      <c r="N121" t="str">
        <f t="shared" si="7"/>
        <v>Area 2-110kV</v>
      </c>
    </row>
    <row r="122" spans="1:14" x14ac:dyDescent="0.25">
      <c r="A122">
        <v>173.17400000000001</v>
      </c>
      <c r="B122">
        <f t="shared" si="4"/>
        <v>0</v>
      </c>
      <c r="C122" t="str">
        <f t="shared" si="5"/>
        <v>-</v>
      </c>
      <c r="D122" t="str">
        <f t="shared" si="6"/>
        <v>Obcy obszar</v>
      </c>
      <c r="L122" t="s">
        <v>571</v>
      </c>
      <c r="M122">
        <v>173.17400000000001</v>
      </c>
      <c r="N122" t="str">
        <f t="shared" si="7"/>
        <v>Area 2-110kV</v>
      </c>
    </row>
    <row r="123" spans="1:14" x14ac:dyDescent="0.25">
      <c r="A123">
        <v>173.17599999999999</v>
      </c>
      <c r="B123">
        <f t="shared" si="4"/>
        <v>0</v>
      </c>
      <c r="C123" t="str">
        <f t="shared" si="5"/>
        <v>-</v>
      </c>
      <c r="D123" t="str">
        <f t="shared" si="6"/>
        <v>Obcy obszar</v>
      </c>
      <c r="L123" t="s">
        <v>571</v>
      </c>
      <c r="M123">
        <v>173.17599999999999</v>
      </c>
      <c r="N123" t="str">
        <f t="shared" si="7"/>
        <v>Area 2-110kV</v>
      </c>
    </row>
    <row r="124" spans="1:14" x14ac:dyDescent="0.25">
      <c r="A124">
        <v>175.173</v>
      </c>
      <c r="B124">
        <f t="shared" si="4"/>
        <v>0</v>
      </c>
      <c r="C124" t="str">
        <f t="shared" si="5"/>
        <v>-</v>
      </c>
      <c r="D124" t="str">
        <f t="shared" si="6"/>
        <v>Obcy obszar</v>
      </c>
      <c r="L124" t="s">
        <v>571</v>
      </c>
      <c r="M124">
        <v>175.173</v>
      </c>
      <c r="N124" t="str">
        <f t="shared" si="7"/>
        <v>Area 2-110kV</v>
      </c>
    </row>
    <row r="125" spans="1:14" x14ac:dyDescent="0.25">
      <c r="A125">
        <v>175.179</v>
      </c>
      <c r="B125">
        <f t="shared" si="4"/>
        <v>0</v>
      </c>
      <c r="C125" t="str">
        <f t="shared" si="5"/>
        <v>-</v>
      </c>
      <c r="D125" t="str">
        <f t="shared" si="6"/>
        <v>Obcy obszar</v>
      </c>
      <c r="L125" t="s">
        <v>571</v>
      </c>
      <c r="M125">
        <v>175.179</v>
      </c>
      <c r="N125" t="str">
        <f t="shared" si="7"/>
        <v>Area 2-110kV</v>
      </c>
    </row>
    <row r="126" spans="1:14" x14ac:dyDescent="0.25">
      <c r="A126">
        <v>176.17699999999999</v>
      </c>
      <c r="B126">
        <f t="shared" si="4"/>
        <v>0</v>
      </c>
      <c r="C126" t="str">
        <f t="shared" si="5"/>
        <v>-</v>
      </c>
      <c r="D126" t="str">
        <f t="shared" si="6"/>
        <v>Obcy obszar</v>
      </c>
      <c r="L126" t="s">
        <v>571</v>
      </c>
      <c r="M126">
        <v>176.17699999999999</v>
      </c>
      <c r="N126" t="str">
        <f t="shared" si="7"/>
        <v>Area 2-110kV</v>
      </c>
    </row>
    <row r="127" spans="1:14" x14ac:dyDescent="0.25">
      <c r="A127">
        <v>178.17699999999999</v>
      </c>
      <c r="B127">
        <f t="shared" si="4"/>
        <v>0</v>
      </c>
      <c r="C127" t="str">
        <f t="shared" si="5"/>
        <v>-</v>
      </c>
      <c r="D127" t="str">
        <f t="shared" si="6"/>
        <v>Obcy obszar</v>
      </c>
      <c r="L127" t="s">
        <v>571</v>
      </c>
      <c r="M127">
        <v>178.17699999999999</v>
      </c>
      <c r="N127" t="str">
        <f t="shared" si="7"/>
        <v>Area 2-110kV</v>
      </c>
    </row>
    <row r="128" spans="1:14" x14ac:dyDescent="0.25">
      <c r="A128">
        <v>178.179</v>
      </c>
      <c r="B128">
        <f t="shared" si="4"/>
        <v>0</v>
      </c>
      <c r="C128" t="str">
        <f t="shared" si="5"/>
        <v>-</v>
      </c>
      <c r="D128" t="str">
        <f t="shared" si="6"/>
        <v>Obcy obszar</v>
      </c>
      <c r="L128" t="s">
        <v>571</v>
      </c>
      <c r="M128">
        <v>178.179</v>
      </c>
      <c r="N128" t="str">
        <f t="shared" si="7"/>
        <v>Area 2-110kV</v>
      </c>
    </row>
    <row r="129" spans="1:14" x14ac:dyDescent="0.25">
      <c r="A129">
        <v>178.18</v>
      </c>
      <c r="B129">
        <f t="shared" si="4"/>
        <v>0</v>
      </c>
      <c r="C129" t="str">
        <f t="shared" si="5"/>
        <v>-</v>
      </c>
      <c r="D129" t="str">
        <f t="shared" si="6"/>
        <v>Obcy obszar</v>
      </c>
      <c r="L129" t="s">
        <v>571</v>
      </c>
      <c r="M129">
        <v>178.18</v>
      </c>
      <c r="N129" t="str">
        <f t="shared" si="7"/>
        <v>Area 2-110kV</v>
      </c>
    </row>
    <row r="130" spans="1:14" x14ac:dyDescent="0.25">
      <c r="A130">
        <v>18.100000000000001</v>
      </c>
      <c r="B130">
        <f t="shared" ref="B130:B193" si="8">_xlfn.XLOOKUP($N130,$P$2:$P$13,$Q$2:$Q$13)</f>
        <v>1</v>
      </c>
      <c r="C130">
        <f t="shared" ref="C130:C193" si="9">_xlfn.XLOOKUP($N130,$P$2:$P$13,$R$2:$R$13)</f>
        <v>1</v>
      </c>
      <c r="D130" t="str">
        <f t="shared" ref="D130:D193" si="10">_xlfn.XLOOKUP($N130,$P$2:$P$13,$S$2:$S$13)</f>
        <v>Możliwa do wyłączenia</v>
      </c>
      <c r="L130" t="s">
        <v>570</v>
      </c>
      <c r="M130">
        <v>18.100000000000001</v>
      </c>
      <c r="N130" t="str">
        <f t="shared" si="7"/>
        <v>Area 1-110kV</v>
      </c>
    </row>
    <row r="131" spans="1:14" x14ac:dyDescent="0.25">
      <c r="A131">
        <v>18.201000000000001</v>
      </c>
      <c r="B131">
        <f t="shared" si="8"/>
        <v>1</v>
      </c>
      <c r="C131">
        <f t="shared" si="9"/>
        <v>1</v>
      </c>
      <c r="D131" t="str">
        <f t="shared" si="10"/>
        <v>Możliwa do wyłączenia</v>
      </c>
      <c r="L131" t="s">
        <v>570</v>
      </c>
      <c r="M131">
        <v>18.201000000000001</v>
      </c>
      <c r="N131" t="str">
        <f t="shared" ref="N131:N194" si="11">_xlfn.XLOOKUP(M131,$I$8:$I$15,$J$8:$J$15,L131)</f>
        <v>Area 1-110kV</v>
      </c>
    </row>
    <row r="132" spans="1:14" x14ac:dyDescent="0.25">
      <c r="A132">
        <v>181.13800000000001</v>
      </c>
      <c r="B132">
        <f t="shared" si="8"/>
        <v>0</v>
      </c>
      <c r="C132" t="str">
        <f t="shared" si="9"/>
        <v>-</v>
      </c>
      <c r="D132" t="str">
        <f t="shared" si="10"/>
        <v>NIE wyłączać - przesyłowa</v>
      </c>
      <c r="L132" t="s">
        <v>567</v>
      </c>
      <c r="M132">
        <v>181.13800000000001</v>
      </c>
      <c r="N132" t="str">
        <f t="shared" si="11"/>
        <v>220kV</v>
      </c>
    </row>
    <row r="133" spans="1:14" x14ac:dyDescent="0.25">
      <c r="A133">
        <v>181.18700000000001</v>
      </c>
      <c r="B133">
        <f t="shared" si="8"/>
        <v>0</v>
      </c>
      <c r="C133" t="str">
        <f t="shared" si="9"/>
        <v>-</v>
      </c>
      <c r="D133" t="str">
        <f t="shared" si="10"/>
        <v>NIE wyłączać - przesyłowa</v>
      </c>
      <c r="L133" t="s">
        <v>567</v>
      </c>
      <c r="M133">
        <v>181.18700000000001</v>
      </c>
      <c r="N133" t="str">
        <f t="shared" si="11"/>
        <v>220kV</v>
      </c>
    </row>
    <row r="134" spans="1:14" x14ac:dyDescent="0.25">
      <c r="A134">
        <v>182.14</v>
      </c>
      <c r="B134">
        <f t="shared" si="8"/>
        <v>0</v>
      </c>
      <c r="C134" t="str">
        <f t="shared" si="9"/>
        <v>-</v>
      </c>
      <c r="D134" t="str">
        <f t="shared" si="10"/>
        <v>NIE wyłączać - przesyłowa</v>
      </c>
      <c r="L134" t="s">
        <v>567</v>
      </c>
      <c r="M134">
        <v>182.14</v>
      </c>
      <c r="N134" t="str">
        <f t="shared" si="11"/>
        <v>220kV</v>
      </c>
    </row>
    <row r="135" spans="1:14" x14ac:dyDescent="0.25">
      <c r="A135">
        <v>184.185</v>
      </c>
      <c r="B135">
        <f t="shared" si="8"/>
        <v>0</v>
      </c>
      <c r="C135" t="str">
        <f t="shared" si="9"/>
        <v>-</v>
      </c>
      <c r="D135" t="str">
        <f t="shared" si="10"/>
        <v>Obcy obszar</v>
      </c>
      <c r="L135" t="s">
        <v>571</v>
      </c>
      <c r="M135">
        <v>184.185</v>
      </c>
      <c r="N135" t="str">
        <f t="shared" si="11"/>
        <v>Area 2-110kV</v>
      </c>
    </row>
    <row r="136" spans="1:14" x14ac:dyDescent="0.25">
      <c r="A136">
        <v>186.18799999999999</v>
      </c>
      <c r="B136">
        <f t="shared" si="8"/>
        <v>0</v>
      </c>
      <c r="C136" t="str">
        <f t="shared" si="9"/>
        <v>-</v>
      </c>
      <c r="D136" t="str">
        <f t="shared" si="10"/>
        <v>NIE wyłączać - przesyłowa</v>
      </c>
      <c r="L136" t="s">
        <v>567</v>
      </c>
      <c r="M136">
        <v>186.18799999999999</v>
      </c>
      <c r="N136" t="str">
        <f t="shared" si="11"/>
        <v>220kV</v>
      </c>
    </row>
    <row r="137" spans="1:14" x14ac:dyDescent="0.25">
      <c r="A137">
        <v>187.18799999999999</v>
      </c>
      <c r="B137">
        <f t="shared" si="8"/>
        <v>0</v>
      </c>
      <c r="C137" t="str">
        <f t="shared" si="9"/>
        <v>-</v>
      </c>
      <c r="D137" t="str">
        <f t="shared" si="10"/>
        <v>NIE wyłączać - przesyłowa</v>
      </c>
      <c r="L137" t="s">
        <v>567</v>
      </c>
      <c r="M137">
        <v>187.18799999999999</v>
      </c>
      <c r="N137" t="str">
        <f t="shared" si="11"/>
        <v>220kV</v>
      </c>
    </row>
    <row r="138" spans="1:14" x14ac:dyDescent="0.25">
      <c r="A138">
        <v>188.137</v>
      </c>
      <c r="B138">
        <f t="shared" si="8"/>
        <v>0</v>
      </c>
      <c r="C138" t="str">
        <f t="shared" si="9"/>
        <v>-</v>
      </c>
      <c r="D138" t="str">
        <f t="shared" si="10"/>
        <v>NIE wyłączać - przesyłowa</v>
      </c>
      <c r="L138" t="s">
        <v>567</v>
      </c>
      <c r="M138">
        <v>188.137</v>
      </c>
      <c r="N138" t="str">
        <f t="shared" si="11"/>
        <v>220kV</v>
      </c>
    </row>
    <row r="139" spans="1:14" x14ac:dyDescent="0.25">
      <c r="A139">
        <v>19.21</v>
      </c>
      <c r="B139">
        <f t="shared" si="8"/>
        <v>0</v>
      </c>
      <c r="C139" t="str">
        <f t="shared" si="9"/>
        <v>-</v>
      </c>
      <c r="D139" t="str">
        <f t="shared" si="10"/>
        <v>NIE wyłączać - przesyłowa</v>
      </c>
      <c r="L139" t="s">
        <v>567</v>
      </c>
      <c r="M139">
        <v>19.21</v>
      </c>
      <c r="N139" t="str">
        <f t="shared" si="11"/>
        <v>220kV</v>
      </c>
    </row>
    <row r="140" spans="1:14" x14ac:dyDescent="0.25">
      <c r="A140">
        <v>19.3</v>
      </c>
      <c r="B140">
        <f t="shared" si="8"/>
        <v>0</v>
      </c>
      <c r="C140" t="str">
        <f t="shared" si="9"/>
        <v>-</v>
      </c>
      <c r="D140" t="str">
        <f t="shared" si="10"/>
        <v>NIE wyłączać - przesyłowa</v>
      </c>
      <c r="L140" t="s">
        <v>567</v>
      </c>
      <c r="M140">
        <v>19.3</v>
      </c>
      <c r="N140" t="str">
        <f t="shared" si="11"/>
        <v>220kV</v>
      </c>
    </row>
    <row r="141" spans="1:14" x14ac:dyDescent="0.25">
      <c r="A141">
        <v>19.87</v>
      </c>
      <c r="B141">
        <f t="shared" si="8"/>
        <v>0</v>
      </c>
      <c r="C141" t="str">
        <f t="shared" si="9"/>
        <v>-</v>
      </c>
      <c r="D141" t="str">
        <f t="shared" si="10"/>
        <v>NIE wyłączać - przesyłowa</v>
      </c>
      <c r="L141" t="s">
        <v>567</v>
      </c>
      <c r="M141">
        <v>19.87</v>
      </c>
      <c r="N141" t="str">
        <f t="shared" si="11"/>
        <v>220kV</v>
      </c>
    </row>
    <row r="142" spans="1:14" x14ac:dyDescent="0.25">
      <c r="A142">
        <v>190.22900000000001</v>
      </c>
      <c r="B142">
        <f t="shared" si="8"/>
        <v>0</v>
      </c>
      <c r="C142" t="str">
        <f t="shared" si="9"/>
        <v>-</v>
      </c>
      <c r="D142" t="str">
        <f t="shared" si="10"/>
        <v>NIE wyłączać - przesyłowa</v>
      </c>
      <c r="L142" t="s">
        <v>568</v>
      </c>
      <c r="M142">
        <v>190.22900000000001</v>
      </c>
      <c r="N142" t="str">
        <f t="shared" si="11"/>
        <v>400kV</v>
      </c>
    </row>
    <row r="143" spans="1:14" x14ac:dyDescent="0.25">
      <c r="A143">
        <v>190.23099999999999</v>
      </c>
      <c r="B143">
        <f t="shared" si="8"/>
        <v>0</v>
      </c>
      <c r="C143" t="str">
        <f t="shared" si="9"/>
        <v>-</v>
      </c>
      <c r="D143" t="str">
        <f t="shared" si="10"/>
        <v>NIE wyłączać - przesyłowa</v>
      </c>
      <c r="L143" t="s">
        <v>568</v>
      </c>
      <c r="M143">
        <v>190.23099999999999</v>
      </c>
      <c r="N143" t="str">
        <f t="shared" si="11"/>
        <v>400kV</v>
      </c>
    </row>
    <row r="144" spans="1:14" x14ac:dyDescent="0.25">
      <c r="A144">
        <v>191.22499999999999</v>
      </c>
      <c r="B144">
        <f t="shared" si="8"/>
        <v>0</v>
      </c>
      <c r="C144" t="str">
        <f t="shared" si="9"/>
        <v>-</v>
      </c>
      <c r="D144" t="str">
        <f t="shared" si="10"/>
        <v>NIE wyłączać - przesyłowa</v>
      </c>
      <c r="L144" t="s">
        <v>567</v>
      </c>
      <c r="M144">
        <v>191.22499999999999</v>
      </c>
      <c r="N144" t="str">
        <f t="shared" si="11"/>
        <v>220kV</v>
      </c>
    </row>
    <row r="145" spans="1:14" x14ac:dyDescent="0.25">
      <c r="A145">
        <v>192.191</v>
      </c>
      <c r="B145">
        <f t="shared" si="8"/>
        <v>0</v>
      </c>
      <c r="C145" t="str">
        <f t="shared" si="9"/>
        <v>-</v>
      </c>
      <c r="D145" t="str">
        <f t="shared" si="10"/>
        <v>NIE wyłączać - przesyłowa</v>
      </c>
      <c r="L145" t="s">
        <v>567</v>
      </c>
      <c r="M145">
        <v>192.191</v>
      </c>
      <c r="N145" t="str">
        <f t="shared" si="11"/>
        <v>220kV</v>
      </c>
    </row>
    <row r="146" spans="1:14" x14ac:dyDescent="0.25">
      <c r="A146">
        <v>192.22499999999999</v>
      </c>
      <c r="B146">
        <f t="shared" si="8"/>
        <v>0</v>
      </c>
      <c r="C146" t="str">
        <f t="shared" si="9"/>
        <v>-</v>
      </c>
      <c r="D146" t="str">
        <f t="shared" si="10"/>
        <v>NIE wyłączać - przesyłowa</v>
      </c>
      <c r="L146" t="s">
        <v>567</v>
      </c>
      <c r="M146">
        <v>192.22499999999999</v>
      </c>
      <c r="N146" t="str">
        <f t="shared" si="11"/>
        <v>220kV</v>
      </c>
    </row>
    <row r="147" spans="1:14" x14ac:dyDescent="0.25">
      <c r="A147">
        <v>193.196</v>
      </c>
      <c r="B147">
        <f t="shared" si="8"/>
        <v>0</v>
      </c>
      <c r="C147" t="str">
        <f t="shared" si="9"/>
        <v>-</v>
      </c>
      <c r="D147" t="str">
        <f t="shared" si="10"/>
        <v>Obcy obszar</v>
      </c>
      <c r="L147" t="s">
        <v>572</v>
      </c>
      <c r="M147">
        <v>193.196</v>
      </c>
      <c r="N147" t="str">
        <f t="shared" si="11"/>
        <v>Area 3-110kV</v>
      </c>
    </row>
    <row r="148" spans="1:14" x14ac:dyDescent="0.25">
      <c r="A148">
        <v>193.20500000000001</v>
      </c>
      <c r="B148">
        <f t="shared" si="8"/>
        <v>0</v>
      </c>
      <c r="C148" t="str">
        <f t="shared" si="9"/>
        <v>-</v>
      </c>
      <c r="D148" t="str">
        <f t="shared" si="10"/>
        <v>Obcy obszar</v>
      </c>
      <c r="L148" t="s">
        <v>572</v>
      </c>
      <c r="M148">
        <v>193.20500000000001</v>
      </c>
      <c r="N148" t="str">
        <f t="shared" si="11"/>
        <v>Area 3-110kV</v>
      </c>
    </row>
    <row r="149" spans="1:14" x14ac:dyDescent="0.25">
      <c r="A149">
        <v>193.208</v>
      </c>
      <c r="B149">
        <f t="shared" si="8"/>
        <v>0</v>
      </c>
      <c r="C149" t="str">
        <f t="shared" si="9"/>
        <v>-</v>
      </c>
      <c r="D149" t="str">
        <f t="shared" si="10"/>
        <v>Obcy obszar</v>
      </c>
      <c r="L149" t="s">
        <v>572</v>
      </c>
      <c r="M149">
        <v>193.208</v>
      </c>
      <c r="N149" t="str">
        <f t="shared" si="11"/>
        <v>Area 3-110kV</v>
      </c>
    </row>
    <row r="150" spans="1:14" x14ac:dyDescent="0.25">
      <c r="A150">
        <v>194.81</v>
      </c>
      <c r="B150">
        <f t="shared" si="8"/>
        <v>0</v>
      </c>
      <c r="C150" t="str">
        <f t="shared" si="9"/>
        <v>-</v>
      </c>
      <c r="D150" t="str">
        <f t="shared" si="10"/>
        <v>NIE wyłączać - przesyłowa</v>
      </c>
      <c r="L150" t="s">
        <v>568</v>
      </c>
      <c r="M150">
        <v>194.81</v>
      </c>
      <c r="N150" t="str">
        <f t="shared" si="11"/>
        <v>400kV</v>
      </c>
    </row>
    <row r="151" spans="1:14" x14ac:dyDescent="0.25">
      <c r="A151">
        <v>195.21899999999999</v>
      </c>
      <c r="B151">
        <f t="shared" si="8"/>
        <v>0</v>
      </c>
      <c r="C151" t="str">
        <f t="shared" si="9"/>
        <v>-</v>
      </c>
      <c r="D151" t="str">
        <f t="shared" si="10"/>
        <v>NIE wyłączać - przesyłowa</v>
      </c>
      <c r="L151" t="s">
        <v>568</v>
      </c>
      <c r="M151">
        <v>195.21899999999999</v>
      </c>
      <c r="N151" t="str">
        <f t="shared" si="11"/>
        <v>400kV</v>
      </c>
    </row>
    <row r="152" spans="1:14" x14ac:dyDescent="0.25">
      <c r="A152">
        <v>196.21</v>
      </c>
      <c r="B152">
        <f t="shared" si="8"/>
        <v>0</v>
      </c>
      <c r="C152" t="str">
        <f t="shared" si="9"/>
        <v>-</v>
      </c>
      <c r="D152" t="str">
        <f t="shared" si="10"/>
        <v>Obcy obszar</v>
      </c>
      <c r="L152" t="s">
        <v>572</v>
      </c>
      <c r="M152">
        <v>196.21</v>
      </c>
      <c r="N152" t="str">
        <f t="shared" si="11"/>
        <v>Area 3-110kV</v>
      </c>
    </row>
    <row r="153" spans="1:14" x14ac:dyDescent="0.25">
      <c r="A153">
        <v>197.196</v>
      </c>
      <c r="B153">
        <f t="shared" si="8"/>
        <v>0</v>
      </c>
      <c r="C153" t="str">
        <f t="shared" si="9"/>
        <v>-</v>
      </c>
      <c r="D153" t="str">
        <f t="shared" si="10"/>
        <v>Obcy obszar</v>
      </c>
      <c r="L153" t="s">
        <v>572</v>
      </c>
      <c r="M153">
        <v>197.196</v>
      </c>
      <c r="N153" t="str">
        <f t="shared" si="11"/>
        <v>Area 3-110kV</v>
      </c>
    </row>
    <row r="154" spans="1:14" x14ac:dyDescent="0.25">
      <c r="A154">
        <v>198.197</v>
      </c>
      <c r="B154">
        <f t="shared" si="8"/>
        <v>0</v>
      </c>
      <c r="C154" t="str">
        <f t="shared" si="9"/>
        <v>-</v>
      </c>
      <c r="D154" t="str">
        <f t="shared" si="10"/>
        <v>Obcy obszar</v>
      </c>
      <c r="L154" t="s">
        <v>572</v>
      </c>
      <c r="M154">
        <v>198.197</v>
      </c>
      <c r="N154" t="str">
        <f t="shared" si="11"/>
        <v>Area 3-110kV</v>
      </c>
    </row>
    <row r="155" spans="1:14" x14ac:dyDescent="0.25">
      <c r="A155">
        <v>198.203</v>
      </c>
      <c r="B155">
        <f t="shared" si="8"/>
        <v>0</v>
      </c>
      <c r="C155" t="str">
        <f t="shared" si="9"/>
        <v>-</v>
      </c>
      <c r="D155" t="str">
        <f t="shared" si="10"/>
        <v>Obcy obszar</v>
      </c>
      <c r="L155" t="s">
        <v>572</v>
      </c>
      <c r="M155">
        <v>198.203</v>
      </c>
      <c r="N155" t="str">
        <f t="shared" si="11"/>
        <v>Area 3-110kV</v>
      </c>
    </row>
    <row r="156" spans="1:14" x14ac:dyDescent="0.25">
      <c r="A156">
        <v>198.209</v>
      </c>
      <c r="B156">
        <f t="shared" si="8"/>
        <v>0</v>
      </c>
      <c r="C156" t="str">
        <f t="shared" si="9"/>
        <v>-</v>
      </c>
      <c r="D156" t="str">
        <f t="shared" si="10"/>
        <v>Obcy obszar</v>
      </c>
      <c r="L156" t="s">
        <v>572</v>
      </c>
      <c r="M156">
        <v>198.209</v>
      </c>
      <c r="N156" t="str">
        <f t="shared" si="11"/>
        <v>Area 3-110kV</v>
      </c>
    </row>
    <row r="157" spans="1:14" x14ac:dyDescent="0.25">
      <c r="A157">
        <v>1981.1949999999999</v>
      </c>
      <c r="B157">
        <f t="shared" si="8"/>
        <v>0</v>
      </c>
      <c r="C157" t="str">
        <f t="shared" si="9"/>
        <v>-</v>
      </c>
      <c r="D157" t="str">
        <f t="shared" si="10"/>
        <v>NIE wyłączać - przesyłowa</v>
      </c>
      <c r="L157" t="s">
        <v>568</v>
      </c>
      <c r="M157">
        <v>1981.1949999999999</v>
      </c>
      <c r="N157" t="str">
        <f t="shared" si="11"/>
        <v>400kV</v>
      </c>
    </row>
    <row r="158" spans="1:14" x14ac:dyDescent="0.25">
      <c r="A158">
        <v>1981.3710000000001</v>
      </c>
      <c r="B158">
        <f t="shared" si="8"/>
        <v>0</v>
      </c>
      <c r="C158" t="str">
        <f t="shared" si="9"/>
        <v>-</v>
      </c>
      <c r="D158" t="str">
        <f t="shared" si="10"/>
        <v>NIE wyłączać - przesyłowa</v>
      </c>
      <c r="L158" t="s">
        <v>568</v>
      </c>
      <c r="M158">
        <v>1981.3710000000001</v>
      </c>
      <c r="N158" t="str">
        <f t="shared" si="11"/>
        <v>400kV</v>
      </c>
    </row>
    <row r="159" spans="1:14" x14ac:dyDescent="0.25">
      <c r="A159">
        <v>199.21</v>
      </c>
      <c r="B159">
        <f t="shared" si="8"/>
        <v>0</v>
      </c>
      <c r="C159" t="str">
        <f t="shared" si="9"/>
        <v>-</v>
      </c>
      <c r="D159" t="str">
        <f t="shared" si="10"/>
        <v>Obcy obszar</v>
      </c>
      <c r="L159" t="s">
        <v>572</v>
      </c>
      <c r="M159">
        <v>199.21</v>
      </c>
      <c r="N159" t="str">
        <f t="shared" si="11"/>
        <v>Area 3-110kV</v>
      </c>
    </row>
    <row r="160" spans="1:14" x14ac:dyDescent="0.25">
      <c r="A160">
        <v>20.22</v>
      </c>
      <c r="B160">
        <f t="shared" si="8"/>
        <v>1</v>
      </c>
      <c r="C160">
        <f t="shared" si="9"/>
        <v>1</v>
      </c>
      <c r="D160" t="str">
        <f t="shared" si="10"/>
        <v>Możliwa do wyłączenia</v>
      </c>
      <c r="L160" t="s">
        <v>570</v>
      </c>
      <c r="M160">
        <v>20.22</v>
      </c>
      <c r="N160" t="str">
        <f t="shared" si="11"/>
        <v>Area 1-110kV</v>
      </c>
    </row>
    <row r="161" spans="1:14" x14ac:dyDescent="0.25">
      <c r="A161">
        <v>20.27</v>
      </c>
      <c r="B161">
        <f t="shared" si="8"/>
        <v>1</v>
      </c>
      <c r="C161">
        <f t="shared" si="9"/>
        <v>1</v>
      </c>
      <c r="D161" t="str">
        <f t="shared" si="10"/>
        <v>Możliwa do wyłączenia</v>
      </c>
      <c r="L161" t="s">
        <v>570</v>
      </c>
      <c r="M161">
        <v>20.27</v>
      </c>
      <c r="N161" t="str">
        <f t="shared" si="11"/>
        <v>Area 1-110kV</v>
      </c>
    </row>
    <row r="162" spans="1:14" x14ac:dyDescent="0.25">
      <c r="A162">
        <v>20.530999999999999</v>
      </c>
      <c r="B162">
        <f t="shared" si="8"/>
        <v>1</v>
      </c>
      <c r="C162">
        <f t="shared" si="9"/>
        <v>1</v>
      </c>
      <c r="D162" t="str">
        <f t="shared" si="10"/>
        <v>Możliwa do wyłączenia</v>
      </c>
      <c r="L162" t="s">
        <v>570</v>
      </c>
      <c r="M162">
        <v>20.530999999999999</v>
      </c>
      <c r="N162" t="str">
        <f t="shared" si="11"/>
        <v>Area 1-110kV</v>
      </c>
    </row>
    <row r="163" spans="1:14" x14ac:dyDescent="0.25">
      <c r="A163">
        <v>200.19900000000001</v>
      </c>
      <c r="B163">
        <f t="shared" si="8"/>
        <v>0</v>
      </c>
      <c r="C163" t="str">
        <f t="shared" si="9"/>
        <v>-</v>
      </c>
      <c r="D163" t="str">
        <f t="shared" si="10"/>
        <v>Obcy obszar</v>
      </c>
      <c r="L163" t="s">
        <v>572</v>
      </c>
      <c r="M163">
        <v>200.19900000000001</v>
      </c>
      <c r="N163" t="str">
        <f t="shared" si="11"/>
        <v>Area 3-110kV</v>
      </c>
    </row>
    <row r="164" spans="1:14" x14ac:dyDescent="0.25">
      <c r="A164">
        <v>200.21</v>
      </c>
      <c r="B164">
        <f t="shared" si="8"/>
        <v>0</v>
      </c>
      <c r="C164" t="str">
        <f t="shared" si="9"/>
        <v>-</v>
      </c>
      <c r="D164" t="str">
        <f t="shared" si="10"/>
        <v>Obcy obszar</v>
      </c>
      <c r="L164" t="s">
        <v>572</v>
      </c>
      <c r="M164">
        <v>200.21</v>
      </c>
      <c r="N164" t="str">
        <f t="shared" si="11"/>
        <v>Area 3-110kV</v>
      </c>
    </row>
    <row r="165" spans="1:14" x14ac:dyDescent="0.25">
      <c r="A165">
        <v>202.19800000000001</v>
      </c>
      <c r="B165">
        <f t="shared" si="8"/>
        <v>0</v>
      </c>
      <c r="C165" t="str">
        <f t="shared" si="9"/>
        <v>-</v>
      </c>
      <c r="D165" t="str">
        <f t="shared" si="10"/>
        <v>Obcy obszar</v>
      </c>
      <c r="L165" t="s">
        <v>572</v>
      </c>
      <c r="M165">
        <v>202.19800000000001</v>
      </c>
      <c r="N165" t="str">
        <f t="shared" si="11"/>
        <v>Area 3-110kV</v>
      </c>
    </row>
    <row r="166" spans="1:14" x14ac:dyDescent="0.25">
      <c r="A166">
        <v>202.21100000000001</v>
      </c>
      <c r="B166">
        <f t="shared" si="8"/>
        <v>0</v>
      </c>
      <c r="C166" t="str">
        <f t="shared" si="9"/>
        <v>-</v>
      </c>
      <c r="D166" t="str">
        <f t="shared" si="10"/>
        <v>Obcy obszar</v>
      </c>
      <c r="L166" t="s">
        <v>572</v>
      </c>
      <c r="M166">
        <v>202.21100000000001</v>
      </c>
      <c r="N166" t="str">
        <f t="shared" si="11"/>
        <v>Area 3-110kV</v>
      </c>
    </row>
    <row r="167" spans="1:14" x14ac:dyDescent="0.25">
      <c r="A167">
        <v>204.20099999999999</v>
      </c>
      <c r="B167">
        <f t="shared" si="8"/>
        <v>1</v>
      </c>
      <c r="C167">
        <f t="shared" si="9"/>
        <v>1</v>
      </c>
      <c r="D167" t="str">
        <f t="shared" si="10"/>
        <v>Możliwa do wyłączenia</v>
      </c>
      <c r="L167" t="s">
        <v>570</v>
      </c>
      <c r="M167">
        <v>204.20099999999999</v>
      </c>
      <c r="N167" t="str">
        <f t="shared" si="11"/>
        <v>Area 1-110kV</v>
      </c>
    </row>
    <row r="168" spans="1:14" x14ac:dyDescent="0.25">
      <c r="A168">
        <v>2040.1959999999999</v>
      </c>
      <c r="B168">
        <f t="shared" si="8"/>
        <v>0</v>
      </c>
      <c r="C168" t="str">
        <f t="shared" si="9"/>
        <v>-</v>
      </c>
      <c r="D168" t="str">
        <f t="shared" si="10"/>
        <v>Obcy obszar</v>
      </c>
      <c r="L168" t="s">
        <v>572</v>
      </c>
      <c r="M168">
        <v>2040.1959999999999</v>
      </c>
      <c r="N168" t="str">
        <f t="shared" si="11"/>
        <v>Area 3-110kV</v>
      </c>
    </row>
    <row r="169" spans="1:14" x14ac:dyDescent="0.25">
      <c r="A169">
        <v>2040.204</v>
      </c>
      <c r="B169">
        <f t="shared" si="8"/>
        <v>0</v>
      </c>
      <c r="C169" t="str">
        <f t="shared" si="9"/>
        <v>-</v>
      </c>
      <c r="D169" t="str">
        <f t="shared" si="10"/>
        <v>Obcy obszar</v>
      </c>
      <c r="L169" t="s">
        <v>572</v>
      </c>
      <c r="M169">
        <v>2040.204</v>
      </c>
      <c r="N169" t="str">
        <f t="shared" si="11"/>
        <v>Area 3-110kV</v>
      </c>
    </row>
    <row r="170" spans="1:14" x14ac:dyDescent="0.25">
      <c r="A170">
        <v>205.20400000000001</v>
      </c>
      <c r="B170">
        <f t="shared" si="8"/>
        <v>0</v>
      </c>
      <c r="C170" t="str">
        <f t="shared" si="9"/>
        <v>-</v>
      </c>
      <c r="D170" t="str">
        <f t="shared" si="10"/>
        <v>Obcy obszar</v>
      </c>
      <c r="L170" t="s">
        <v>572</v>
      </c>
      <c r="M170">
        <v>205.20400000000001</v>
      </c>
      <c r="N170" t="str">
        <f t="shared" si="11"/>
        <v>Area 3-110kV</v>
      </c>
    </row>
    <row r="171" spans="1:14" x14ac:dyDescent="0.25">
      <c r="A171">
        <v>205.20599999999999</v>
      </c>
      <c r="B171">
        <f t="shared" si="8"/>
        <v>0</v>
      </c>
      <c r="C171" t="str">
        <f t="shared" si="9"/>
        <v>-</v>
      </c>
      <c r="D171" t="str">
        <f t="shared" si="10"/>
        <v>Obcy obszar</v>
      </c>
      <c r="L171" t="s">
        <v>572</v>
      </c>
      <c r="M171">
        <v>205.20599999999999</v>
      </c>
      <c r="N171" t="str">
        <f t="shared" si="11"/>
        <v>Area 3-110kV</v>
      </c>
    </row>
    <row r="172" spans="1:14" x14ac:dyDescent="0.25">
      <c r="A172">
        <v>206.20699999999999</v>
      </c>
      <c r="B172">
        <f t="shared" si="8"/>
        <v>1</v>
      </c>
      <c r="C172">
        <f t="shared" si="9"/>
        <v>1</v>
      </c>
      <c r="D172" t="str">
        <f t="shared" si="10"/>
        <v>Możliwa do wyłączenia</v>
      </c>
      <c r="L172" t="s">
        <v>570</v>
      </c>
      <c r="M172">
        <v>206.20699999999999</v>
      </c>
      <c r="N172" t="str">
        <f t="shared" si="11"/>
        <v>Area 1-110kV</v>
      </c>
    </row>
    <row r="173" spans="1:14" x14ac:dyDescent="0.25">
      <c r="A173">
        <v>206.208</v>
      </c>
      <c r="B173">
        <f t="shared" si="8"/>
        <v>0</v>
      </c>
      <c r="C173" t="str">
        <f t="shared" si="9"/>
        <v>-</v>
      </c>
      <c r="D173" t="str">
        <f t="shared" si="10"/>
        <v>Obcy obszar</v>
      </c>
      <c r="L173" t="s">
        <v>572</v>
      </c>
      <c r="M173">
        <v>206.208</v>
      </c>
      <c r="N173" t="str">
        <f t="shared" si="11"/>
        <v>Area 3-110kV</v>
      </c>
    </row>
    <row r="174" spans="1:14" x14ac:dyDescent="0.25">
      <c r="A174">
        <v>207.114</v>
      </c>
      <c r="B174">
        <f t="shared" si="8"/>
        <v>1</v>
      </c>
      <c r="C174">
        <f t="shared" si="9"/>
        <v>1</v>
      </c>
      <c r="D174" t="str">
        <f t="shared" si="10"/>
        <v>Możliwa do wyłączenia</v>
      </c>
      <c r="L174" t="s">
        <v>570</v>
      </c>
      <c r="M174">
        <v>207.114</v>
      </c>
      <c r="N174" t="str">
        <f t="shared" si="11"/>
        <v>Area 1-110kV</v>
      </c>
    </row>
    <row r="175" spans="1:14" x14ac:dyDescent="0.25">
      <c r="A175">
        <v>21.24</v>
      </c>
      <c r="B175">
        <f t="shared" si="8"/>
        <v>0</v>
      </c>
      <c r="C175" t="str">
        <f t="shared" si="9"/>
        <v>-</v>
      </c>
      <c r="D175" t="str">
        <f t="shared" si="10"/>
        <v>NIE wyłączać - przesyłowa</v>
      </c>
      <c r="L175" t="s">
        <v>567</v>
      </c>
      <c r="M175">
        <v>21.24</v>
      </c>
      <c r="N175" t="str">
        <f t="shared" si="11"/>
        <v>220kV</v>
      </c>
    </row>
    <row r="176" spans="1:14" x14ac:dyDescent="0.25">
      <c r="A176">
        <v>210.19800000000001</v>
      </c>
      <c r="B176">
        <f t="shared" si="8"/>
        <v>0</v>
      </c>
      <c r="C176" t="str">
        <f t="shared" si="9"/>
        <v>-</v>
      </c>
      <c r="D176" t="str">
        <f t="shared" si="10"/>
        <v>Obcy obszar</v>
      </c>
      <c r="L176" t="s">
        <v>572</v>
      </c>
      <c r="M176">
        <v>210.19800000000001</v>
      </c>
      <c r="N176" t="str">
        <f t="shared" si="11"/>
        <v>Area 3-110kV</v>
      </c>
    </row>
    <row r="177" spans="1:14" x14ac:dyDescent="0.25">
      <c r="A177">
        <v>211.197</v>
      </c>
      <c r="B177">
        <f t="shared" si="8"/>
        <v>0</v>
      </c>
      <c r="C177" t="str">
        <f t="shared" si="9"/>
        <v>-</v>
      </c>
      <c r="D177" t="str">
        <f t="shared" si="10"/>
        <v>Obcy obszar</v>
      </c>
      <c r="L177" t="s">
        <v>572</v>
      </c>
      <c r="M177">
        <v>211.197</v>
      </c>
      <c r="N177" t="str">
        <f t="shared" si="11"/>
        <v>Area 3-110kV</v>
      </c>
    </row>
    <row r="178" spans="1:14" x14ac:dyDescent="0.25">
      <c r="A178">
        <v>211.19800000000001</v>
      </c>
      <c r="B178">
        <f t="shared" si="8"/>
        <v>0</v>
      </c>
      <c r="C178" t="str">
        <f t="shared" si="9"/>
        <v>-</v>
      </c>
      <c r="D178" t="str">
        <f t="shared" si="10"/>
        <v>Obcy obszar</v>
      </c>
      <c r="L178" t="s">
        <v>572</v>
      </c>
      <c r="M178">
        <v>211.19800000000001</v>
      </c>
      <c r="N178" t="str">
        <f t="shared" si="11"/>
        <v>Area 3-110kV</v>
      </c>
    </row>
    <row r="179" spans="1:14" x14ac:dyDescent="0.25">
      <c r="A179">
        <v>211.203</v>
      </c>
      <c r="B179">
        <f t="shared" si="8"/>
        <v>0</v>
      </c>
      <c r="C179" t="str">
        <f t="shared" si="9"/>
        <v>-</v>
      </c>
      <c r="D179" t="str">
        <f t="shared" si="10"/>
        <v>Obcy obszar</v>
      </c>
      <c r="L179" t="s">
        <v>572</v>
      </c>
      <c r="M179">
        <v>211.203</v>
      </c>
      <c r="N179" t="str">
        <f t="shared" si="11"/>
        <v>Area 3-110kV</v>
      </c>
    </row>
    <row r="180" spans="1:14" x14ac:dyDescent="0.25">
      <c r="A180">
        <v>211.21199999999999</v>
      </c>
      <c r="B180">
        <f t="shared" si="8"/>
        <v>0</v>
      </c>
      <c r="C180" t="str">
        <f t="shared" si="9"/>
        <v>-</v>
      </c>
      <c r="D180" t="str">
        <f t="shared" si="10"/>
        <v>Obcy obszar</v>
      </c>
      <c r="L180" t="s">
        <v>572</v>
      </c>
      <c r="M180">
        <v>211.21199999999999</v>
      </c>
      <c r="N180" t="str">
        <f t="shared" si="11"/>
        <v>Area 3-110kV</v>
      </c>
    </row>
    <row r="181" spans="1:14" x14ac:dyDescent="0.25">
      <c r="A181">
        <v>211.79</v>
      </c>
      <c r="B181">
        <f t="shared" si="8"/>
        <v>1</v>
      </c>
      <c r="C181">
        <f t="shared" si="9"/>
        <v>1</v>
      </c>
      <c r="D181" t="str">
        <f t="shared" si="10"/>
        <v>Możliwa do wyłączenia</v>
      </c>
      <c r="L181" t="s">
        <v>570</v>
      </c>
      <c r="M181">
        <v>211.79</v>
      </c>
      <c r="N181" t="str">
        <f t="shared" si="11"/>
        <v>Area 1-110kV</v>
      </c>
    </row>
    <row r="182" spans="1:14" x14ac:dyDescent="0.25">
      <c r="A182">
        <v>211.8</v>
      </c>
      <c r="B182">
        <f t="shared" si="8"/>
        <v>1</v>
      </c>
      <c r="C182">
        <f t="shared" si="9"/>
        <v>1</v>
      </c>
      <c r="D182" t="str">
        <f t="shared" si="10"/>
        <v>Możliwa do wyłączenia</v>
      </c>
      <c r="L182" t="s">
        <v>570</v>
      </c>
      <c r="M182">
        <v>211.8</v>
      </c>
      <c r="N182" t="str">
        <f t="shared" si="11"/>
        <v>Area 1-110kV</v>
      </c>
    </row>
    <row r="183" spans="1:14" x14ac:dyDescent="0.25">
      <c r="A183">
        <v>214.215</v>
      </c>
      <c r="B183">
        <f t="shared" si="8"/>
        <v>0</v>
      </c>
      <c r="C183" t="str">
        <f t="shared" si="9"/>
        <v>-</v>
      </c>
      <c r="D183" t="str">
        <f t="shared" si="10"/>
        <v>Obcy obszar</v>
      </c>
      <c r="L183" t="s">
        <v>572</v>
      </c>
      <c r="M183">
        <v>214.215</v>
      </c>
      <c r="N183" t="str">
        <f t="shared" si="11"/>
        <v>Area 3-110kV</v>
      </c>
    </row>
    <row r="184" spans="1:14" x14ac:dyDescent="0.25">
      <c r="A184">
        <v>214.21549999999999</v>
      </c>
      <c r="B184">
        <f t="shared" si="8"/>
        <v>0</v>
      </c>
      <c r="C184" t="str">
        <f t="shared" si="9"/>
        <v>-</v>
      </c>
      <c r="D184" t="str">
        <f t="shared" si="10"/>
        <v>Obcy obszar</v>
      </c>
      <c r="L184" t="s">
        <v>572</v>
      </c>
      <c r="M184">
        <v>214.21549999999999</v>
      </c>
      <c r="N184" t="str">
        <f t="shared" si="11"/>
        <v>Area 3-110kV</v>
      </c>
    </row>
    <row r="185" spans="1:14" x14ac:dyDescent="0.25">
      <c r="A185">
        <v>214.24199999999999</v>
      </c>
      <c r="B185">
        <f t="shared" si="8"/>
        <v>0</v>
      </c>
      <c r="C185" t="str">
        <f t="shared" si="9"/>
        <v>-</v>
      </c>
      <c r="D185" t="str">
        <f t="shared" si="10"/>
        <v>Obcy obszar</v>
      </c>
      <c r="L185" t="s">
        <v>572</v>
      </c>
      <c r="M185">
        <v>214.24199999999999</v>
      </c>
      <c r="N185" t="str">
        <f t="shared" si="11"/>
        <v>Area 3-110kV</v>
      </c>
    </row>
    <row r="186" spans="1:14" x14ac:dyDescent="0.25">
      <c r="A186">
        <v>214.2422</v>
      </c>
      <c r="B186">
        <f t="shared" si="8"/>
        <v>0</v>
      </c>
      <c r="C186" t="str">
        <f t="shared" si="9"/>
        <v>-</v>
      </c>
      <c r="D186" t="str">
        <f t="shared" si="10"/>
        <v>Obcy obszar</v>
      </c>
      <c r="L186" t="s">
        <v>572</v>
      </c>
      <c r="M186">
        <v>214.2422</v>
      </c>
      <c r="N186" t="str">
        <f t="shared" si="11"/>
        <v>Area 3-110kV</v>
      </c>
    </row>
    <row r="187" spans="1:14" x14ac:dyDescent="0.25">
      <c r="A187">
        <v>215.21199999999999</v>
      </c>
      <c r="B187">
        <f t="shared" si="8"/>
        <v>0</v>
      </c>
      <c r="C187" t="str">
        <f t="shared" si="9"/>
        <v>-</v>
      </c>
      <c r="D187" t="str">
        <f t="shared" si="10"/>
        <v>Obcy obszar</v>
      </c>
      <c r="L187" t="s">
        <v>572</v>
      </c>
      <c r="M187">
        <v>215.21199999999999</v>
      </c>
      <c r="N187" t="str">
        <f t="shared" si="11"/>
        <v>Area 3-110kV</v>
      </c>
    </row>
    <row r="188" spans="1:14" x14ac:dyDescent="0.25">
      <c r="A188">
        <v>216.215</v>
      </c>
      <c r="B188">
        <f t="shared" si="8"/>
        <v>0</v>
      </c>
      <c r="C188" t="str">
        <f t="shared" si="9"/>
        <v>-</v>
      </c>
      <c r="D188" t="str">
        <f t="shared" si="10"/>
        <v>Obcy obszar</v>
      </c>
      <c r="L188" t="s">
        <v>572</v>
      </c>
      <c r="M188">
        <v>216.215</v>
      </c>
      <c r="N188" t="str">
        <f t="shared" si="11"/>
        <v>Area 3-110kV</v>
      </c>
    </row>
    <row r="189" spans="1:14" x14ac:dyDescent="0.25">
      <c r="A189">
        <v>217.21600000000001</v>
      </c>
      <c r="B189">
        <f t="shared" si="8"/>
        <v>0</v>
      </c>
      <c r="C189" t="str">
        <f t="shared" si="9"/>
        <v>-</v>
      </c>
      <c r="D189" t="str">
        <f t="shared" si="10"/>
        <v>Obcy obszar</v>
      </c>
      <c r="L189" t="s">
        <v>572</v>
      </c>
      <c r="M189">
        <v>217.21600000000001</v>
      </c>
      <c r="N189" t="str">
        <f t="shared" si="11"/>
        <v>Area 3-110kV</v>
      </c>
    </row>
    <row r="190" spans="1:14" x14ac:dyDescent="0.25">
      <c r="A190">
        <v>217.21799999999999</v>
      </c>
      <c r="B190">
        <f t="shared" si="8"/>
        <v>0</v>
      </c>
      <c r="C190" t="str">
        <f t="shared" si="9"/>
        <v>-</v>
      </c>
      <c r="D190" t="str">
        <f t="shared" si="10"/>
        <v>Obcy obszar</v>
      </c>
      <c r="L190" t="s">
        <v>572</v>
      </c>
      <c r="M190">
        <v>217.21799999999999</v>
      </c>
      <c r="N190" t="str">
        <f t="shared" si="11"/>
        <v>Area 3-110kV</v>
      </c>
    </row>
    <row r="191" spans="1:14" x14ac:dyDescent="0.25">
      <c r="A191">
        <v>218.22</v>
      </c>
      <c r="B191">
        <f t="shared" si="8"/>
        <v>0</v>
      </c>
      <c r="C191" t="str">
        <f t="shared" si="9"/>
        <v>-</v>
      </c>
      <c r="D191" t="str">
        <f t="shared" si="10"/>
        <v>Obcy obszar</v>
      </c>
      <c r="L191" t="s">
        <v>572</v>
      </c>
      <c r="M191">
        <v>218.22</v>
      </c>
      <c r="N191" t="str">
        <f t="shared" si="11"/>
        <v>Area 3-110kV</v>
      </c>
    </row>
    <row r="192" spans="1:14" x14ac:dyDescent="0.25">
      <c r="A192">
        <v>219.19399999999999</v>
      </c>
      <c r="B192">
        <f t="shared" si="8"/>
        <v>0</v>
      </c>
      <c r="C192" t="str">
        <f t="shared" si="9"/>
        <v>-</v>
      </c>
      <c r="D192" t="str">
        <f t="shared" si="10"/>
        <v>NIE wyłączać - przesyłowa</v>
      </c>
      <c r="L192" t="s">
        <v>568</v>
      </c>
      <c r="M192">
        <v>219.19399999999999</v>
      </c>
      <c r="N192" t="str">
        <f t="shared" si="11"/>
        <v>400kV</v>
      </c>
    </row>
    <row r="193" spans="1:14" x14ac:dyDescent="0.25">
      <c r="A193">
        <v>22.23</v>
      </c>
      <c r="B193">
        <f t="shared" si="8"/>
        <v>1</v>
      </c>
      <c r="C193">
        <f t="shared" si="9"/>
        <v>1</v>
      </c>
      <c r="D193" t="str">
        <f t="shared" si="10"/>
        <v>Możliwa do wyłączenia</v>
      </c>
      <c r="L193" t="s">
        <v>570</v>
      </c>
      <c r="M193">
        <v>22.23</v>
      </c>
      <c r="N193" t="str">
        <f t="shared" si="11"/>
        <v>Area 1-110kV</v>
      </c>
    </row>
    <row r="194" spans="1:14" x14ac:dyDescent="0.25">
      <c r="A194">
        <v>220.21700000000001</v>
      </c>
      <c r="B194">
        <f t="shared" ref="B194:B257" si="12">_xlfn.XLOOKUP($N194,$P$2:$P$13,$Q$2:$Q$13)</f>
        <v>0</v>
      </c>
      <c r="C194" t="str">
        <f t="shared" ref="C194:C257" si="13">_xlfn.XLOOKUP($N194,$P$2:$P$13,$R$2:$R$13)</f>
        <v>-</v>
      </c>
      <c r="D194" t="str">
        <f t="shared" ref="D194:D257" si="14">_xlfn.XLOOKUP($N194,$P$2:$P$13,$S$2:$S$13)</f>
        <v>Obcy obszar</v>
      </c>
      <c r="L194" t="s">
        <v>572</v>
      </c>
      <c r="M194">
        <v>220.21700000000001</v>
      </c>
      <c r="N194" t="str">
        <f t="shared" si="11"/>
        <v>Area 3-110kV</v>
      </c>
    </row>
    <row r="195" spans="1:14" x14ac:dyDescent="0.25">
      <c r="A195">
        <v>221.22</v>
      </c>
      <c r="B195">
        <f t="shared" si="12"/>
        <v>0</v>
      </c>
      <c r="C195" t="str">
        <f t="shared" si="13"/>
        <v>-</v>
      </c>
      <c r="D195" t="str">
        <f t="shared" si="14"/>
        <v>Obcy obszar</v>
      </c>
      <c r="L195" t="s">
        <v>572</v>
      </c>
      <c r="M195">
        <v>221.22</v>
      </c>
      <c r="N195" t="str">
        <f t="shared" ref="N195:N258" si="15">_xlfn.XLOOKUP(M195,$I$8:$I$15,$J$8:$J$15,L195)</f>
        <v>Area 3-110kV</v>
      </c>
    </row>
    <row r="196" spans="1:14" x14ac:dyDescent="0.25">
      <c r="A196">
        <v>221.22300000000001</v>
      </c>
      <c r="B196">
        <f t="shared" si="12"/>
        <v>0</v>
      </c>
      <c r="C196" t="str">
        <f t="shared" si="13"/>
        <v>-</v>
      </c>
      <c r="D196" t="str">
        <f t="shared" si="14"/>
        <v>Obcy obszar</v>
      </c>
      <c r="L196" t="s">
        <v>572</v>
      </c>
      <c r="M196">
        <v>221.22300000000001</v>
      </c>
      <c r="N196" t="str">
        <f t="shared" si="15"/>
        <v>Area 3-110kV</v>
      </c>
    </row>
    <row r="197" spans="1:14" x14ac:dyDescent="0.25">
      <c r="A197">
        <v>225.22399999999999</v>
      </c>
      <c r="B197">
        <f t="shared" si="12"/>
        <v>0</v>
      </c>
      <c r="C197" t="str">
        <f t="shared" si="13"/>
        <v>-</v>
      </c>
      <c r="D197" t="str">
        <f t="shared" si="14"/>
        <v>NIE wyłączać - przesyłowa</v>
      </c>
      <c r="L197" t="s">
        <v>567</v>
      </c>
      <c r="M197">
        <v>225.22399999999999</v>
      </c>
      <c r="N197" t="str">
        <f t="shared" si="15"/>
        <v>220kV</v>
      </c>
    </row>
    <row r="198" spans="1:14" x14ac:dyDescent="0.25">
      <c r="A198">
        <v>226.23099999999999</v>
      </c>
      <c r="B198">
        <f t="shared" si="12"/>
        <v>0</v>
      </c>
      <c r="C198" t="str">
        <f t="shared" si="13"/>
        <v>-</v>
      </c>
      <c r="D198" t="str">
        <f t="shared" si="14"/>
        <v>NIE wyłączać - przesyłowa</v>
      </c>
      <c r="L198" t="s">
        <v>568</v>
      </c>
      <c r="M198">
        <v>226.23099999999999</v>
      </c>
      <c r="N198" t="str">
        <f t="shared" si="15"/>
        <v>400kV</v>
      </c>
    </row>
    <row r="199" spans="1:14" x14ac:dyDescent="0.25">
      <c r="A199">
        <v>229.22800000000001</v>
      </c>
      <c r="B199">
        <f t="shared" si="12"/>
        <v>0</v>
      </c>
      <c r="C199" t="str">
        <f t="shared" si="13"/>
        <v>-</v>
      </c>
      <c r="D199" t="str">
        <f t="shared" si="14"/>
        <v>NIE wyłączać - przesyłowa</v>
      </c>
      <c r="L199" t="s">
        <v>568</v>
      </c>
      <c r="M199">
        <v>229.22800000000001</v>
      </c>
      <c r="N199" t="str">
        <f t="shared" si="15"/>
        <v>400kV</v>
      </c>
    </row>
    <row r="200" spans="1:14" x14ac:dyDescent="0.25">
      <c r="A200">
        <v>23.527999999999999</v>
      </c>
      <c r="B200">
        <f t="shared" si="12"/>
        <v>1</v>
      </c>
      <c r="C200">
        <f t="shared" si="13"/>
        <v>1</v>
      </c>
      <c r="D200" t="str">
        <f t="shared" si="14"/>
        <v>Możliwa do wyłączenia</v>
      </c>
      <c r="L200" t="s">
        <v>570</v>
      </c>
      <c r="M200">
        <v>23.527999999999999</v>
      </c>
      <c r="N200" t="str">
        <f t="shared" si="15"/>
        <v>Area 1-110kV</v>
      </c>
    </row>
    <row r="201" spans="1:14" x14ac:dyDescent="0.25">
      <c r="A201">
        <v>231.22800000000001</v>
      </c>
      <c r="B201">
        <f t="shared" si="12"/>
        <v>0</v>
      </c>
      <c r="C201" t="str">
        <f t="shared" si="13"/>
        <v>-</v>
      </c>
      <c r="D201" t="str">
        <f t="shared" si="14"/>
        <v>NIE wyłączać - przesyłowa</v>
      </c>
      <c r="L201" t="s">
        <v>568</v>
      </c>
      <c r="M201">
        <v>231.22800000000001</v>
      </c>
      <c r="N201" t="str">
        <f t="shared" si="15"/>
        <v>400kV</v>
      </c>
    </row>
    <row r="202" spans="1:14" x14ac:dyDescent="0.25">
      <c r="A202">
        <v>234.23500000000001</v>
      </c>
      <c r="B202">
        <f t="shared" si="12"/>
        <v>0</v>
      </c>
      <c r="C202" t="str">
        <f t="shared" si="13"/>
        <v>-</v>
      </c>
      <c r="D202" t="str">
        <f t="shared" si="14"/>
        <v>NIE wyłączać - przesyłowa</v>
      </c>
      <c r="L202" t="s">
        <v>567</v>
      </c>
      <c r="M202">
        <v>234.23500000000001</v>
      </c>
      <c r="N202" t="str">
        <f t="shared" si="15"/>
        <v>220kV</v>
      </c>
    </row>
    <row r="203" spans="1:14" x14ac:dyDescent="0.25">
      <c r="A203">
        <v>235.238</v>
      </c>
      <c r="B203">
        <f t="shared" si="12"/>
        <v>0</v>
      </c>
      <c r="C203" t="str">
        <f t="shared" si="13"/>
        <v>-</v>
      </c>
      <c r="D203" t="str">
        <f t="shared" si="14"/>
        <v>NIE wyłączać - przesyłowa</v>
      </c>
      <c r="L203" t="s">
        <v>567</v>
      </c>
      <c r="M203">
        <v>235.238</v>
      </c>
      <c r="N203" t="str">
        <f t="shared" si="15"/>
        <v>220kV</v>
      </c>
    </row>
    <row r="204" spans="1:14" x14ac:dyDescent="0.25">
      <c r="A204">
        <v>237.21899999999999</v>
      </c>
      <c r="B204">
        <f t="shared" si="12"/>
        <v>0</v>
      </c>
      <c r="C204" t="str">
        <f t="shared" si="13"/>
        <v>-</v>
      </c>
      <c r="D204" t="str">
        <f t="shared" si="14"/>
        <v>NIE wyłączać - przesyłowa</v>
      </c>
      <c r="L204" t="s">
        <v>568</v>
      </c>
      <c r="M204">
        <v>237.21899999999999</v>
      </c>
      <c r="N204" t="str">
        <f t="shared" si="15"/>
        <v>400kV</v>
      </c>
    </row>
    <row r="205" spans="1:14" x14ac:dyDescent="0.25">
      <c r="A205">
        <v>237.23099999999999</v>
      </c>
      <c r="B205">
        <f t="shared" si="12"/>
        <v>0</v>
      </c>
      <c r="C205" t="str">
        <f t="shared" si="13"/>
        <v>-</v>
      </c>
      <c r="D205" t="str">
        <f t="shared" si="14"/>
        <v>NIE wyłączać - przesyłowa</v>
      </c>
      <c r="L205" t="s">
        <v>568</v>
      </c>
      <c r="M205">
        <v>237.23099999999999</v>
      </c>
      <c r="N205" t="str">
        <f t="shared" si="15"/>
        <v>400kV</v>
      </c>
    </row>
    <row r="206" spans="1:14" x14ac:dyDescent="0.25">
      <c r="A206">
        <v>237.2371</v>
      </c>
      <c r="B206">
        <f t="shared" si="12"/>
        <v>0</v>
      </c>
      <c r="C206" t="str">
        <f t="shared" si="13"/>
        <v>-</v>
      </c>
      <c r="D206" t="str">
        <f t="shared" si="14"/>
        <v>NIE wyłączać - przesyłowa</v>
      </c>
      <c r="L206" t="s">
        <v>568</v>
      </c>
      <c r="M206">
        <v>237.2371</v>
      </c>
      <c r="N206" t="str">
        <f t="shared" si="15"/>
        <v>400kV</v>
      </c>
    </row>
    <row r="207" spans="1:14" x14ac:dyDescent="0.25">
      <c r="A207">
        <v>24.318999999999999</v>
      </c>
      <c r="B207">
        <f t="shared" si="12"/>
        <v>0</v>
      </c>
      <c r="C207" t="str">
        <f t="shared" si="13"/>
        <v>-</v>
      </c>
      <c r="D207" t="str">
        <f t="shared" si="14"/>
        <v>NIE wyłączać - przesyłowa</v>
      </c>
      <c r="L207" t="s">
        <v>567</v>
      </c>
      <c r="M207">
        <v>24.318999999999999</v>
      </c>
      <c r="N207" t="str">
        <f t="shared" si="15"/>
        <v>220kV</v>
      </c>
    </row>
    <row r="208" spans="1:14" x14ac:dyDescent="0.25">
      <c r="A208">
        <v>24.36</v>
      </c>
      <c r="B208">
        <f t="shared" si="12"/>
        <v>0</v>
      </c>
      <c r="C208" t="str">
        <f t="shared" si="13"/>
        <v>-</v>
      </c>
      <c r="D208" t="str">
        <f t="shared" si="14"/>
        <v>NIE wyłączać - przesyłowa</v>
      </c>
      <c r="L208" t="s">
        <v>567</v>
      </c>
      <c r="M208">
        <v>24.36</v>
      </c>
      <c r="N208" t="str">
        <f t="shared" si="15"/>
        <v>220kV</v>
      </c>
    </row>
    <row r="209" spans="1:14" x14ac:dyDescent="0.25">
      <c r="A209">
        <v>240.19</v>
      </c>
      <c r="B209">
        <f t="shared" si="12"/>
        <v>0</v>
      </c>
      <c r="C209" t="str">
        <f t="shared" si="13"/>
        <v>-</v>
      </c>
      <c r="D209" t="str">
        <f t="shared" si="14"/>
        <v>NIE wyłączać - przesyłowa</v>
      </c>
      <c r="L209" t="s">
        <v>568</v>
      </c>
      <c r="M209">
        <v>240.19</v>
      </c>
      <c r="N209" t="str">
        <f t="shared" si="15"/>
        <v>400kV</v>
      </c>
    </row>
    <row r="210" spans="1:14" x14ac:dyDescent="0.25">
      <c r="A210">
        <v>243.244</v>
      </c>
      <c r="B210">
        <f t="shared" si="12"/>
        <v>0</v>
      </c>
      <c r="C210" t="str">
        <f t="shared" si="13"/>
        <v>-</v>
      </c>
      <c r="D210" t="str">
        <f t="shared" si="14"/>
        <v>Obcy obszar</v>
      </c>
      <c r="L210" t="s">
        <v>572</v>
      </c>
      <c r="M210">
        <v>243.244</v>
      </c>
      <c r="N210" t="str">
        <f t="shared" si="15"/>
        <v>Area 3-110kV</v>
      </c>
    </row>
    <row r="211" spans="1:14" x14ac:dyDescent="0.25">
      <c r="A211">
        <v>243.245</v>
      </c>
      <c r="B211">
        <f t="shared" si="12"/>
        <v>0</v>
      </c>
      <c r="C211" t="str">
        <f t="shared" si="13"/>
        <v>-</v>
      </c>
      <c r="D211" t="str">
        <f t="shared" si="14"/>
        <v>Obcy obszar</v>
      </c>
      <c r="L211" t="s">
        <v>572</v>
      </c>
      <c r="M211">
        <v>243.245</v>
      </c>
      <c r="N211" t="str">
        <f t="shared" si="15"/>
        <v>Area 3-110kV</v>
      </c>
    </row>
    <row r="212" spans="1:14" x14ac:dyDescent="0.25">
      <c r="A212">
        <v>244.24600000000001</v>
      </c>
      <c r="B212">
        <f t="shared" si="12"/>
        <v>0</v>
      </c>
      <c r="C212" t="str">
        <f t="shared" si="13"/>
        <v>-</v>
      </c>
      <c r="D212" t="str">
        <f t="shared" si="14"/>
        <v>Obcy obszar</v>
      </c>
      <c r="L212" t="s">
        <v>572</v>
      </c>
      <c r="M212">
        <v>244.24600000000001</v>
      </c>
      <c r="N212" t="str">
        <f t="shared" si="15"/>
        <v>Area 3-110kV</v>
      </c>
    </row>
    <row r="213" spans="1:14" x14ac:dyDescent="0.25">
      <c r="A213">
        <v>245.24199999999999</v>
      </c>
      <c r="B213">
        <f t="shared" si="12"/>
        <v>0</v>
      </c>
      <c r="C213" t="str">
        <f t="shared" si="13"/>
        <v>-</v>
      </c>
      <c r="D213" t="str">
        <f t="shared" si="14"/>
        <v>Obcy obszar</v>
      </c>
      <c r="L213" t="s">
        <v>572</v>
      </c>
      <c r="M213">
        <v>245.24199999999999</v>
      </c>
      <c r="N213" t="str">
        <f t="shared" si="15"/>
        <v>Area 3-110kV</v>
      </c>
    </row>
    <row r="214" spans="1:14" x14ac:dyDescent="0.25">
      <c r="A214">
        <v>245.24600000000001</v>
      </c>
      <c r="B214">
        <f t="shared" si="12"/>
        <v>0</v>
      </c>
      <c r="C214" t="str">
        <f t="shared" si="13"/>
        <v>-</v>
      </c>
      <c r="D214" t="str">
        <f t="shared" si="14"/>
        <v>Obcy obszar</v>
      </c>
      <c r="L214" t="s">
        <v>572</v>
      </c>
      <c r="M214">
        <v>245.24600000000001</v>
      </c>
      <c r="N214" t="str">
        <f t="shared" si="15"/>
        <v>Area 3-110kV</v>
      </c>
    </row>
    <row r="215" spans="1:14" x14ac:dyDescent="0.25">
      <c r="A215">
        <v>245.24700000000001</v>
      </c>
      <c r="B215">
        <f t="shared" si="12"/>
        <v>0</v>
      </c>
      <c r="C215" t="str">
        <f t="shared" si="13"/>
        <v>-</v>
      </c>
      <c r="D215" t="str">
        <f t="shared" si="14"/>
        <v>Obcy obszar</v>
      </c>
      <c r="L215" t="s">
        <v>572</v>
      </c>
      <c r="M215">
        <v>245.24700000000001</v>
      </c>
      <c r="N215" t="str">
        <f t="shared" si="15"/>
        <v>Area 3-110kV</v>
      </c>
    </row>
    <row r="216" spans="1:14" x14ac:dyDescent="0.25">
      <c r="A216">
        <v>246.24700000000001</v>
      </c>
      <c r="B216">
        <f t="shared" si="12"/>
        <v>0</v>
      </c>
      <c r="C216" t="str">
        <f t="shared" si="13"/>
        <v>-</v>
      </c>
      <c r="D216" t="str">
        <f t="shared" si="14"/>
        <v>Obcy obszar</v>
      </c>
      <c r="L216" t="s">
        <v>572</v>
      </c>
      <c r="M216">
        <v>246.24700000000001</v>
      </c>
      <c r="N216" t="str">
        <f t="shared" si="15"/>
        <v>Area 3-110kV</v>
      </c>
    </row>
    <row r="217" spans="1:14" x14ac:dyDescent="0.25">
      <c r="A217">
        <v>247.24799999999999</v>
      </c>
      <c r="B217">
        <f t="shared" si="12"/>
        <v>0</v>
      </c>
      <c r="C217" t="str">
        <f t="shared" si="13"/>
        <v>-</v>
      </c>
      <c r="D217" t="str">
        <f t="shared" si="14"/>
        <v>Obcy obszar</v>
      </c>
      <c r="L217" t="s">
        <v>572</v>
      </c>
      <c r="M217">
        <v>247.24799999999999</v>
      </c>
      <c r="N217" t="str">
        <f t="shared" si="15"/>
        <v>Area 3-110kV</v>
      </c>
    </row>
    <row r="218" spans="1:14" x14ac:dyDescent="0.25">
      <c r="A218">
        <v>248.2</v>
      </c>
      <c r="B218">
        <f t="shared" si="12"/>
        <v>0</v>
      </c>
      <c r="C218" t="str">
        <f t="shared" si="13"/>
        <v>-</v>
      </c>
      <c r="D218" t="str">
        <f t="shared" si="14"/>
        <v>Obcy obszar</v>
      </c>
      <c r="L218" t="s">
        <v>572</v>
      </c>
      <c r="M218">
        <v>248.2</v>
      </c>
      <c r="N218" t="str">
        <f t="shared" si="15"/>
        <v>Area 3-110kV</v>
      </c>
    </row>
    <row r="219" spans="1:14" x14ac:dyDescent="0.25">
      <c r="A219">
        <v>25.23</v>
      </c>
      <c r="B219">
        <f t="shared" si="12"/>
        <v>1</v>
      </c>
      <c r="C219">
        <f t="shared" si="13"/>
        <v>1</v>
      </c>
      <c r="D219" t="str">
        <f t="shared" si="14"/>
        <v>Możliwa do wyłączenia</v>
      </c>
      <c r="L219" t="s">
        <v>570</v>
      </c>
      <c r="M219">
        <v>25.23</v>
      </c>
      <c r="N219" t="str">
        <f t="shared" si="15"/>
        <v>Area 1-110kV</v>
      </c>
    </row>
    <row r="220" spans="1:14" x14ac:dyDescent="0.25">
      <c r="A220">
        <v>26.25</v>
      </c>
      <c r="B220">
        <f t="shared" si="12"/>
        <v>1</v>
      </c>
      <c r="C220">
        <f t="shared" si="13"/>
        <v>1</v>
      </c>
      <c r="D220" t="str">
        <f t="shared" si="14"/>
        <v>Możliwa do wyłączenia</v>
      </c>
      <c r="L220" t="s">
        <v>570</v>
      </c>
      <c r="M220">
        <v>26.25</v>
      </c>
      <c r="N220" t="str">
        <f t="shared" si="15"/>
        <v>Area 1-110kV</v>
      </c>
    </row>
    <row r="221" spans="1:14" x14ac:dyDescent="0.25">
      <c r="A221">
        <v>26.32</v>
      </c>
      <c r="B221">
        <f t="shared" si="12"/>
        <v>1</v>
      </c>
      <c r="C221">
        <f t="shared" si="13"/>
        <v>1</v>
      </c>
      <c r="D221" t="str">
        <f t="shared" si="14"/>
        <v>Możliwa do wyłączenia</v>
      </c>
      <c r="L221" t="s">
        <v>570</v>
      </c>
      <c r="M221">
        <v>26.32</v>
      </c>
      <c r="N221" t="str">
        <f t="shared" si="15"/>
        <v>Area 1-110kV</v>
      </c>
    </row>
    <row r="222" spans="1:14" x14ac:dyDescent="0.25">
      <c r="A222">
        <v>27.26</v>
      </c>
      <c r="B222">
        <f t="shared" si="12"/>
        <v>1</v>
      </c>
      <c r="C222">
        <f t="shared" si="13"/>
        <v>1</v>
      </c>
      <c r="D222" t="str">
        <f t="shared" si="14"/>
        <v>Możliwa do wyłączenia</v>
      </c>
      <c r="L222" t="s">
        <v>570</v>
      </c>
      <c r="M222">
        <v>27.26</v>
      </c>
      <c r="N222" t="str">
        <f t="shared" si="15"/>
        <v>Area 1-110kV</v>
      </c>
    </row>
    <row r="223" spans="1:14" x14ac:dyDescent="0.25">
      <c r="A223">
        <v>33.409999999999997</v>
      </c>
      <c r="B223">
        <f t="shared" si="12"/>
        <v>1</v>
      </c>
      <c r="C223">
        <f t="shared" si="13"/>
        <v>1</v>
      </c>
      <c r="D223" t="str">
        <f t="shared" si="14"/>
        <v>Możliwa do wyłączenia</v>
      </c>
      <c r="L223" t="s">
        <v>570</v>
      </c>
      <c r="M223">
        <v>33.409999999999997</v>
      </c>
      <c r="N223" t="str">
        <f t="shared" si="15"/>
        <v>Area 1-110kV</v>
      </c>
    </row>
    <row r="224" spans="1:14" x14ac:dyDescent="0.25">
      <c r="A224">
        <v>34.42</v>
      </c>
      <c r="B224">
        <f t="shared" si="12"/>
        <v>0</v>
      </c>
      <c r="C224" t="str">
        <f t="shared" si="13"/>
        <v>-</v>
      </c>
      <c r="D224" t="str">
        <f t="shared" si="14"/>
        <v>NIE wyłączać - przesyłowa</v>
      </c>
      <c r="L224" t="s">
        <v>568</v>
      </c>
      <c r="M224">
        <v>34.42</v>
      </c>
      <c r="N224" t="str">
        <f t="shared" si="15"/>
        <v>400kV</v>
      </c>
    </row>
    <row r="225" spans="1:14" x14ac:dyDescent="0.25">
      <c r="A225">
        <v>35.72</v>
      </c>
      <c r="B225">
        <f t="shared" si="12"/>
        <v>1</v>
      </c>
      <c r="C225">
        <f t="shared" si="13"/>
        <v>1</v>
      </c>
      <c r="D225" t="str">
        <f t="shared" si="14"/>
        <v>Możliwa do wyłączenia</v>
      </c>
      <c r="L225" t="s">
        <v>570</v>
      </c>
      <c r="M225">
        <v>35.72</v>
      </c>
      <c r="N225" t="str">
        <f t="shared" si="15"/>
        <v>Area 1-110kV</v>
      </c>
    </row>
    <row r="226" spans="1:14" x14ac:dyDescent="0.25">
      <c r="A226">
        <v>35.76</v>
      </c>
      <c r="B226">
        <f t="shared" si="12"/>
        <v>1</v>
      </c>
      <c r="C226">
        <f t="shared" si="13"/>
        <v>1</v>
      </c>
      <c r="D226" t="str">
        <f t="shared" si="14"/>
        <v>Możliwa do wyłączenia</v>
      </c>
      <c r="L226" t="s">
        <v>570</v>
      </c>
      <c r="M226">
        <v>35.76</v>
      </c>
      <c r="N226" t="str">
        <f t="shared" si="15"/>
        <v>Area 1-110kV</v>
      </c>
    </row>
    <row r="227" spans="1:14" x14ac:dyDescent="0.25">
      <c r="A227">
        <v>35.770000000000003</v>
      </c>
      <c r="B227">
        <f t="shared" si="12"/>
        <v>1</v>
      </c>
      <c r="C227">
        <f t="shared" si="13"/>
        <v>1</v>
      </c>
      <c r="D227" t="str">
        <f t="shared" si="14"/>
        <v>Możliwa do wyłączenia</v>
      </c>
      <c r="L227" t="s">
        <v>570</v>
      </c>
      <c r="M227">
        <v>35.770000000000003</v>
      </c>
      <c r="N227" t="str">
        <f t="shared" si="15"/>
        <v>Area 1-110kV</v>
      </c>
    </row>
    <row r="228" spans="1:14" x14ac:dyDescent="0.25">
      <c r="A228">
        <v>35.99</v>
      </c>
      <c r="B228">
        <f t="shared" si="12"/>
        <v>1</v>
      </c>
      <c r="C228">
        <f t="shared" si="13"/>
        <v>1</v>
      </c>
      <c r="D228" t="str">
        <f t="shared" si="14"/>
        <v>Możliwa do wyłączenia</v>
      </c>
      <c r="L228" t="s">
        <v>570</v>
      </c>
      <c r="M228">
        <v>35.99</v>
      </c>
      <c r="N228" t="str">
        <f t="shared" si="15"/>
        <v>Area 1-110kV</v>
      </c>
    </row>
    <row r="229" spans="1:14" x14ac:dyDescent="0.25">
      <c r="A229">
        <v>36.880000000000003</v>
      </c>
      <c r="B229">
        <f t="shared" si="12"/>
        <v>0</v>
      </c>
      <c r="C229" t="str">
        <f t="shared" si="13"/>
        <v>-</v>
      </c>
      <c r="D229" t="str">
        <f t="shared" si="14"/>
        <v>NIE wyłączać - przesyłowa</v>
      </c>
      <c r="L229" t="s">
        <v>567</v>
      </c>
      <c r="M229">
        <v>36.880000000000003</v>
      </c>
      <c r="N229" t="str">
        <f t="shared" si="15"/>
        <v>220kV</v>
      </c>
    </row>
    <row r="230" spans="1:14" x14ac:dyDescent="0.25">
      <c r="A230">
        <v>37.380000000000003</v>
      </c>
      <c r="B230">
        <f t="shared" si="12"/>
        <v>1</v>
      </c>
      <c r="C230">
        <f t="shared" si="13"/>
        <v>1</v>
      </c>
      <c r="D230" t="str">
        <f t="shared" si="14"/>
        <v>Możliwa do wyłączenia</v>
      </c>
      <c r="L230" t="s">
        <v>570</v>
      </c>
      <c r="M230">
        <v>37.380000000000003</v>
      </c>
      <c r="N230" t="str">
        <f t="shared" si="15"/>
        <v>Area 1-110kV</v>
      </c>
    </row>
    <row r="231" spans="1:14" x14ac:dyDescent="0.25">
      <c r="A231">
        <v>37.630000000000003</v>
      </c>
      <c r="B231">
        <f t="shared" si="12"/>
        <v>1</v>
      </c>
      <c r="C231">
        <f t="shared" si="13"/>
        <v>1</v>
      </c>
      <c r="D231" t="str">
        <f t="shared" si="14"/>
        <v>Możliwa do wyłączenia</v>
      </c>
      <c r="L231" t="s">
        <v>570</v>
      </c>
      <c r="M231">
        <v>37.630000000000003</v>
      </c>
      <c r="N231" t="str">
        <f t="shared" si="15"/>
        <v>Area 1-110kV</v>
      </c>
    </row>
    <row r="232" spans="1:14" x14ac:dyDescent="0.25">
      <c r="A232">
        <v>37.900100000000002</v>
      </c>
      <c r="B232">
        <f t="shared" si="12"/>
        <v>1</v>
      </c>
      <c r="C232">
        <f t="shared" si="13"/>
        <v>1</v>
      </c>
      <c r="D232" t="str">
        <f t="shared" si="14"/>
        <v>Możliwa do wyłączenia</v>
      </c>
      <c r="L232" t="s">
        <v>570</v>
      </c>
      <c r="M232">
        <v>37.900100000000002</v>
      </c>
      <c r="N232" t="str">
        <f t="shared" si="15"/>
        <v>Area 1-110kV</v>
      </c>
    </row>
    <row r="233" spans="1:14" x14ac:dyDescent="0.25">
      <c r="A233">
        <v>371.42</v>
      </c>
      <c r="B233">
        <f t="shared" si="12"/>
        <v>0</v>
      </c>
      <c r="C233" t="str">
        <f t="shared" si="13"/>
        <v>-</v>
      </c>
      <c r="D233" t="str">
        <f t="shared" si="14"/>
        <v>NIE wyłączać - przesyłowa</v>
      </c>
      <c r="L233" t="s">
        <v>568</v>
      </c>
      <c r="M233">
        <v>371.42</v>
      </c>
      <c r="N233" t="str">
        <f t="shared" si="15"/>
        <v>400kV</v>
      </c>
    </row>
    <row r="234" spans="1:14" x14ac:dyDescent="0.25">
      <c r="A234">
        <v>38.33</v>
      </c>
      <c r="B234">
        <f t="shared" si="12"/>
        <v>1</v>
      </c>
      <c r="C234">
        <f t="shared" si="13"/>
        <v>1</v>
      </c>
      <c r="D234" t="str">
        <f t="shared" si="14"/>
        <v>Możliwa do wyłączenia</v>
      </c>
      <c r="L234" t="s">
        <v>570</v>
      </c>
      <c r="M234">
        <v>38.33</v>
      </c>
      <c r="N234" t="str">
        <f t="shared" si="15"/>
        <v>Area 1-110kV</v>
      </c>
    </row>
    <row r="235" spans="1:14" x14ac:dyDescent="0.25">
      <c r="A235">
        <v>38.369999999999997</v>
      </c>
      <c r="B235">
        <f t="shared" si="12"/>
        <v>1</v>
      </c>
      <c r="C235">
        <f t="shared" si="13"/>
        <v>1</v>
      </c>
      <c r="D235" t="str">
        <f t="shared" si="14"/>
        <v>Możliwa do wyłączenia</v>
      </c>
      <c r="L235" t="s">
        <v>570</v>
      </c>
      <c r="M235">
        <v>38.369999999999997</v>
      </c>
      <c r="N235" t="str">
        <f t="shared" si="15"/>
        <v>Area 1-110kV</v>
      </c>
    </row>
    <row r="236" spans="1:14" x14ac:dyDescent="0.25">
      <c r="A236">
        <v>39.42</v>
      </c>
      <c r="B236">
        <f t="shared" si="12"/>
        <v>0</v>
      </c>
      <c r="C236" t="str">
        <f t="shared" si="13"/>
        <v>-</v>
      </c>
      <c r="D236" t="str">
        <f t="shared" si="14"/>
        <v>NIE wyłączać - przesyłowa</v>
      </c>
      <c r="L236" t="s">
        <v>568</v>
      </c>
      <c r="M236">
        <v>39.42</v>
      </c>
      <c r="N236" t="str">
        <f t="shared" si="15"/>
        <v>400kV</v>
      </c>
    </row>
    <row r="237" spans="1:14" x14ac:dyDescent="0.25">
      <c r="A237">
        <v>40.33</v>
      </c>
      <c r="B237">
        <f t="shared" si="12"/>
        <v>1</v>
      </c>
      <c r="C237">
        <f t="shared" si="13"/>
        <v>1</v>
      </c>
      <c r="D237" t="str">
        <f t="shared" si="14"/>
        <v>Możliwa do wyłączenia</v>
      </c>
      <c r="L237" t="s">
        <v>570</v>
      </c>
      <c r="M237">
        <v>40.33</v>
      </c>
      <c r="N237" t="str">
        <f t="shared" si="15"/>
        <v>Area 1-110kV</v>
      </c>
    </row>
    <row r="238" spans="1:14" x14ac:dyDescent="0.25">
      <c r="A238">
        <v>40.369999999999997</v>
      </c>
      <c r="B238">
        <f t="shared" si="12"/>
        <v>1</v>
      </c>
      <c r="C238">
        <f t="shared" si="13"/>
        <v>1</v>
      </c>
      <c r="D238" t="str">
        <f t="shared" si="14"/>
        <v>Możliwa do wyłączenia</v>
      </c>
      <c r="L238" t="s">
        <v>570</v>
      </c>
      <c r="M238">
        <v>40.369999999999997</v>
      </c>
      <c r="N238" t="str">
        <f t="shared" si="15"/>
        <v>Area 1-110kV</v>
      </c>
    </row>
    <row r="239" spans="1:14" x14ac:dyDescent="0.25">
      <c r="A239">
        <v>41.38</v>
      </c>
      <c r="B239">
        <f t="shared" si="12"/>
        <v>1</v>
      </c>
      <c r="C239">
        <f t="shared" si="13"/>
        <v>1</v>
      </c>
      <c r="D239" t="str">
        <f t="shared" si="14"/>
        <v>Możliwa do wyłączenia</v>
      </c>
      <c r="L239" t="s">
        <v>570</v>
      </c>
      <c r="M239">
        <v>41.38</v>
      </c>
      <c r="N239" t="str">
        <f t="shared" si="15"/>
        <v>Area 1-110kV</v>
      </c>
    </row>
    <row r="240" spans="1:14" x14ac:dyDescent="0.25">
      <c r="A240">
        <v>41.49</v>
      </c>
      <c r="B240">
        <f t="shared" si="12"/>
        <v>1</v>
      </c>
      <c r="C240">
        <f t="shared" si="13"/>
        <v>1</v>
      </c>
      <c r="D240" t="str">
        <f t="shared" si="14"/>
        <v>Możliwa do wyłączenia</v>
      </c>
      <c r="L240" t="s">
        <v>570</v>
      </c>
      <c r="M240">
        <v>41.49</v>
      </c>
      <c r="N240" t="str">
        <f t="shared" si="15"/>
        <v>Area 1-110kV</v>
      </c>
    </row>
    <row r="241" spans="1:14" x14ac:dyDescent="0.25">
      <c r="A241">
        <v>41.91</v>
      </c>
      <c r="B241">
        <f t="shared" si="12"/>
        <v>1</v>
      </c>
      <c r="C241">
        <f t="shared" si="13"/>
        <v>1</v>
      </c>
      <c r="D241" t="str">
        <f t="shared" si="14"/>
        <v>Możliwa do wyłączenia</v>
      </c>
      <c r="L241" t="s">
        <v>570</v>
      </c>
      <c r="M241">
        <v>41.91</v>
      </c>
      <c r="N241" t="str">
        <f t="shared" si="15"/>
        <v>Area 1-110kV</v>
      </c>
    </row>
    <row r="242" spans="1:14" x14ac:dyDescent="0.25">
      <c r="A242">
        <v>42.16</v>
      </c>
      <c r="B242">
        <f t="shared" si="12"/>
        <v>0</v>
      </c>
      <c r="C242" t="str">
        <f t="shared" si="13"/>
        <v>-</v>
      </c>
      <c r="D242" t="str">
        <f t="shared" si="14"/>
        <v>NIE wyłączać - przesyłowa</v>
      </c>
      <c r="L242" t="s">
        <v>568</v>
      </c>
      <c r="M242">
        <v>42.16</v>
      </c>
      <c r="N242" t="str">
        <f t="shared" si="15"/>
        <v>400kV</v>
      </c>
    </row>
    <row r="243" spans="1:14" x14ac:dyDescent="0.25">
      <c r="A243">
        <v>42.46</v>
      </c>
      <c r="B243">
        <f t="shared" si="12"/>
        <v>0</v>
      </c>
      <c r="C243" t="str">
        <f t="shared" si="13"/>
        <v>-</v>
      </c>
      <c r="D243" t="str">
        <f t="shared" si="14"/>
        <v>NIE wyłączać - przesyłowa</v>
      </c>
      <c r="L243" t="s">
        <v>568</v>
      </c>
      <c r="M243">
        <v>42.46</v>
      </c>
      <c r="N243" t="str">
        <f t="shared" si="15"/>
        <v>400kV</v>
      </c>
    </row>
    <row r="244" spans="1:14" x14ac:dyDescent="0.25">
      <c r="A244">
        <v>43.38</v>
      </c>
      <c r="B244">
        <f t="shared" si="12"/>
        <v>1</v>
      </c>
      <c r="C244">
        <f t="shared" si="13"/>
        <v>1</v>
      </c>
      <c r="D244" t="str">
        <f t="shared" si="14"/>
        <v>Możliwa do wyłączenia</v>
      </c>
      <c r="L244" t="s">
        <v>570</v>
      </c>
      <c r="M244">
        <v>43.38</v>
      </c>
      <c r="N244" t="str">
        <f t="shared" si="15"/>
        <v>Area 1-110kV</v>
      </c>
    </row>
    <row r="245" spans="1:14" x14ac:dyDescent="0.25">
      <c r="A245">
        <v>43.48</v>
      </c>
      <c r="B245">
        <f t="shared" si="12"/>
        <v>1</v>
      </c>
      <c r="C245">
        <f t="shared" si="13"/>
        <v>1</v>
      </c>
      <c r="D245" t="str">
        <f t="shared" si="14"/>
        <v>Możliwa do wyłączenia</v>
      </c>
      <c r="L245" t="s">
        <v>570</v>
      </c>
      <c r="M245">
        <v>43.48</v>
      </c>
      <c r="N245" t="str">
        <f t="shared" si="15"/>
        <v>Area 1-110kV</v>
      </c>
    </row>
    <row r="246" spans="1:14" x14ac:dyDescent="0.25">
      <c r="A246">
        <v>44.43</v>
      </c>
      <c r="B246">
        <f t="shared" si="12"/>
        <v>1</v>
      </c>
      <c r="C246">
        <f t="shared" si="13"/>
        <v>1</v>
      </c>
      <c r="D246" t="str">
        <f t="shared" si="14"/>
        <v>Możliwa do wyłączenia</v>
      </c>
      <c r="L246" t="s">
        <v>570</v>
      </c>
      <c r="M246">
        <v>44.43</v>
      </c>
      <c r="N246" t="str">
        <f t="shared" si="15"/>
        <v>Area 1-110kV</v>
      </c>
    </row>
    <row r="247" spans="1:14" x14ac:dyDescent="0.25">
      <c r="A247">
        <v>44.54</v>
      </c>
      <c r="B247">
        <f t="shared" si="12"/>
        <v>1</v>
      </c>
      <c r="C247">
        <f t="shared" si="13"/>
        <v>1</v>
      </c>
      <c r="D247" t="str">
        <f t="shared" si="14"/>
        <v>Możliwa do wyłączenia</v>
      </c>
      <c r="L247" t="s">
        <v>570</v>
      </c>
      <c r="M247">
        <v>44.54</v>
      </c>
      <c r="N247" t="str">
        <f t="shared" si="15"/>
        <v>Area 1-110kV</v>
      </c>
    </row>
    <row r="248" spans="1:14" x14ac:dyDescent="0.25">
      <c r="A248">
        <v>45.74</v>
      </c>
      <c r="B248">
        <f t="shared" si="12"/>
        <v>0</v>
      </c>
      <c r="C248" t="str">
        <f t="shared" si="13"/>
        <v>-</v>
      </c>
      <c r="D248" t="str">
        <f t="shared" si="14"/>
        <v>NIE wyłączać - przesyłowa</v>
      </c>
      <c r="L248" t="s">
        <v>567</v>
      </c>
      <c r="M248">
        <v>45.74</v>
      </c>
      <c r="N248" t="str">
        <f t="shared" si="15"/>
        <v>220kV</v>
      </c>
    </row>
    <row r="249" spans="1:14" x14ac:dyDescent="0.25">
      <c r="A249">
        <v>47.32</v>
      </c>
      <c r="B249">
        <f t="shared" si="12"/>
        <v>1</v>
      </c>
      <c r="C249">
        <f t="shared" si="13"/>
        <v>1</v>
      </c>
      <c r="D249" t="str">
        <f t="shared" si="14"/>
        <v>Możliwa do wyłączenia</v>
      </c>
      <c r="L249" t="s">
        <v>570</v>
      </c>
      <c r="M249">
        <v>47.32</v>
      </c>
      <c r="N249" t="str">
        <f t="shared" si="15"/>
        <v>Area 1-110kV</v>
      </c>
    </row>
    <row r="250" spans="1:14" x14ac:dyDescent="0.25">
      <c r="A250">
        <v>47.44</v>
      </c>
      <c r="B250">
        <f t="shared" si="12"/>
        <v>1</v>
      </c>
      <c r="C250">
        <f t="shared" si="13"/>
        <v>1</v>
      </c>
      <c r="D250" t="str">
        <f t="shared" si="14"/>
        <v>Możliwa do wyłączenia</v>
      </c>
      <c r="L250" t="s">
        <v>570</v>
      </c>
      <c r="M250">
        <v>47.44</v>
      </c>
      <c r="N250" t="str">
        <f t="shared" si="15"/>
        <v>Area 1-110kV</v>
      </c>
    </row>
    <row r="251" spans="1:14" x14ac:dyDescent="0.25">
      <c r="A251">
        <v>47.73</v>
      </c>
      <c r="B251">
        <f t="shared" si="12"/>
        <v>1</v>
      </c>
      <c r="C251">
        <f t="shared" si="13"/>
        <v>1</v>
      </c>
      <c r="D251" t="str">
        <f t="shared" si="14"/>
        <v>Możliwa do wyłączenia</v>
      </c>
      <c r="L251" t="s">
        <v>570</v>
      </c>
      <c r="M251">
        <v>47.73</v>
      </c>
      <c r="N251" t="str">
        <f t="shared" si="15"/>
        <v>Area 1-110kV</v>
      </c>
    </row>
    <row r="252" spans="1:14" x14ac:dyDescent="0.25">
      <c r="A252">
        <v>47.9</v>
      </c>
      <c r="B252">
        <f t="shared" si="12"/>
        <v>1</v>
      </c>
      <c r="C252">
        <f t="shared" si="13"/>
        <v>1</v>
      </c>
      <c r="D252" t="str">
        <f t="shared" si="14"/>
        <v>Możliwa do wyłączenia</v>
      </c>
      <c r="L252" t="s">
        <v>570</v>
      </c>
      <c r="M252">
        <v>47.9</v>
      </c>
      <c r="N252" t="str">
        <f t="shared" si="15"/>
        <v>Area 1-110kV</v>
      </c>
    </row>
    <row r="253" spans="1:14" x14ac:dyDescent="0.25">
      <c r="A253">
        <v>48.106999999999999</v>
      </c>
      <c r="B253">
        <f t="shared" si="12"/>
        <v>1</v>
      </c>
      <c r="C253">
        <f t="shared" si="13"/>
        <v>1</v>
      </c>
      <c r="D253" t="str">
        <f t="shared" si="14"/>
        <v>Możliwa do wyłączenia</v>
      </c>
      <c r="L253" t="s">
        <v>570</v>
      </c>
      <c r="M253">
        <v>48.106999999999999</v>
      </c>
      <c r="N253" t="str">
        <f t="shared" si="15"/>
        <v>Area 1-110kV</v>
      </c>
    </row>
    <row r="254" spans="1:14" x14ac:dyDescent="0.25">
      <c r="A254">
        <v>48.4</v>
      </c>
      <c r="B254">
        <f t="shared" si="12"/>
        <v>1</v>
      </c>
      <c r="C254">
        <f t="shared" si="13"/>
        <v>1</v>
      </c>
      <c r="D254" t="str">
        <f t="shared" si="14"/>
        <v>Możliwa do wyłączenia</v>
      </c>
      <c r="L254" t="s">
        <v>570</v>
      </c>
      <c r="M254">
        <v>48.4</v>
      </c>
      <c r="N254" t="str">
        <f t="shared" si="15"/>
        <v>Area 1-110kV</v>
      </c>
    </row>
    <row r="255" spans="1:14" x14ac:dyDescent="0.25">
      <c r="A255">
        <v>49.37</v>
      </c>
      <c r="B255">
        <f t="shared" si="12"/>
        <v>1</v>
      </c>
      <c r="C255">
        <f t="shared" si="13"/>
        <v>1</v>
      </c>
      <c r="D255" t="str">
        <f t="shared" si="14"/>
        <v>Możliwa do wyłączenia</v>
      </c>
      <c r="L255" t="s">
        <v>570</v>
      </c>
      <c r="M255">
        <v>49.37</v>
      </c>
      <c r="N255" t="str">
        <f t="shared" si="15"/>
        <v>Area 1-110kV</v>
      </c>
    </row>
    <row r="256" spans="1:14" x14ac:dyDescent="0.25">
      <c r="A256">
        <v>49.51</v>
      </c>
      <c r="B256">
        <f t="shared" si="12"/>
        <v>1</v>
      </c>
      <c r="C256">
        <f t="shared" si="13"/>
        <v>1</v>
      </c>
      <c r="D256" t="str">
        <f t="shared" si="14"/>
        <v>Możliwa do wyłączenia</v>
      </c>
      <c r="L256" t="s">
        <v>570</v>
      </c>
      <c r="M256">
        <v>49.51</v>
      </c>
      <c r="N256" t="str">
        <f t="shared" si="15"/>
        <v>Area 1-110kV</v>
      </c>
    </row>
    <row r="257" spans="1:14" x14ac:dyDescent="0.25">
      <c r="A257">
        <v>5.0999999999999996</v>
      </c>
      <c r="B257">
        <f t="shared" si="12"/>
        <v>1</v>
      </c>
      <c r="C257">
        <f t="shared" si="13"/>
        <v>1</v>
      </c>
      <c r="D257" t="str">
        <f t="shared" si="14"/>
        <v>Możliwa do wyłączenia</v>
      </c>
      <c r="L257" t="s">
        <v>570</v>
      </c>
      <c r="M257">
        <v>5.0999999999999996</v>
      </c>
      <c r="N257" t="str">
        <f t="shared" si="15"/>
        <v>Area 1-110kV</v>
      </c>
    </row>
    <row r="258" spans="1:14" x14ac:dyDescent="0.25">
      <c r="A258">
        <v>5.73</v>
      </c>
      <c r="B258">
        <f t="shared" ref="B258:B321" si="16">_xlfn.XLOOKUP($N258,$P$2:$P$13,$Q$2:$Q$13)</f>
        <v>1</v>
      </c>
      <c r="C258">
        <f t="shared" ref="C258:C321" si="17">_xlfn.XLOOKUP($N258,$P$2:$P$13,$R$2:$R$13)</f>
        <v>1</v>
      </c>
      <c r="D258" t="str">
        <f t="shared" ref="D258:D321" si="18">_xlfn.XLOOKUP($N258,$P$2:$P$13,$S$2:$S$13)</f>
        <v>Możliwa do wyłączenia</v>
      </c>
      <c r="L258" t="s">
        <v>570</v>
      </c>
      <c r="M258">
        <v>5.73</v>
      </c>
      <c r="N258" t="str">
        <f t="shared" si="15"/>
        <v>Area 1-110kV</v>
      </c>
    </row>
    <row r="259" spans="1:14" x14ac:dyDescent="0.25">
      <c r="A259">
        <v>5.9</v>
      </c>
      <c r="B259">
        <f t="shared" si="16"/>
        <v>1</v>
      </c>
      <c r="C259">
        <f t="shared" si="17"/>
        <v>1</v>
      </c>
      <c r="D259" t="str">
        <f t="shared" si="18"/>
        <v>Możliwa do wyłączenia</v>
      </c>
      <c r="L259" t="s">
        <v>570</v>
      </c>
      <c r="M259">
        <v>5.9</v>
      </c>
      <c r="N259" t="str">
        <f t="shared" ref="N259:N322" si="19">_xlfn.XLOOKUP(M259,$I$8:$I$15,$J$8:$J$15,L259)</f>
        <v>Area 1-110kV</v>
      </c>
    </row>
    <row r="260" spans="1:14" x14ac:dyDescent="0.25">
      <c r="A260">
        <v>51.41</v>
      </c>
      <c r="B260">
        <f t="shared" si="16"/>
        <v>1</v>
      </c>
      <c r="C260">
        <f t="shared" si="17"/>
        <v>1</v>
      </c>
      <c r="D260" t="str">
        <f t="shared" si="18"/>
        <v>Możliwa do wyłączenia</v>
      </c>
      <c r="L260" t="s">
        <v>570</v>
      </c>
      <c r="M260">
        <v>51.41</v>
      </c>
      <c r="N260" t="str">
        <f t="shared" si="19"/>
        <v>Area 1-110kV</v>
      </c>
    </row>
    <row r="261" spans="1:14" x14ac:dyDescent="0.25">
      <c r="A261">
        <v>52.51</v>
      </c>
      <c r="B261">
        <f t="shared" si="16"/>
        <v>1</v>
      </c>
      <c r="C261">
        <f t="shared" si="17"/>
        <v>1</v>
      </c>
      <c r="D261" t="str">
        <f t="shared" si="18"/>
        <v>Możliwa do wyłączenia</v>
      </c>
      <c r="L261" t="s">
        <v>570</v>
      </c>
      <c r="M261">
        <v>52.51</v>
      </c>
      <c r="N261" t="str">
        <f t="shared" si="19"/>
        <v>Area 1-110kV</v>
      </c>
    </row>
    <row r="262" spans="1:14" x14ac:dyDescent="0.25">
      <c r="A262">
        <v>52.55</v>
      </c>
      <c r="B262">
        <f t="shared" si="16"/>
        <v>1</v>
      </c>
      <c r="C262">
        <f t="shared" si="17"/>
        <v>1</v>
      </c>
      <c r="D262" t="str">
        <f t="shared" si="18"/>
        <v>Możliwa do wyłączenia</v>
      </c>
      <c r="L262" t="s">
        <v>570</v>
      </c>
      <c r="M262">
        <v>52.55</v>
      </c>
      <c r="N262" t="str">
        <f t="shared" si="19"/>
        <v>Area 1-110kV</v>
      </c>
    </row>
    <row r="263" spans="1:14" x14ac:dyDescent="0.25">
      <c r="A263">
        <v>526.63</v>
      </c>
      <c r="B263">
        <f t="shared" si="16"/>
        <v>1</v>
      </c>
      <c r="C263">
        <f t="shared" si="17"/>
        <v>1</v>
      </c>
      <c r="D263" t="str">
        <f t="shared" si="18"/>
        <v>Możliwa do wyłączenia</v>
      </c>
      <c r="L263" t="s">
        <v>570</v>
      </c>
      <c r="M263">
        <v>526.63</v>
      </c>
      <c r="N263" t="str">
        <f t="shared" si="19"/>
        <v>Area 1-110kV</v>
      </c>
    </row>
    <row r="264" spans="1:14" x14ac:dyDescent="0.25">
      <c r="A264">
        <v>528.70000000000005</v>
      </c>
      <c r="B264">
        <f t="shared" si="16"/>
        <v>1</v>
      </c>
      <c r="C264">
        <f t="shared" si="17"/>
        <v>1</v>
      </c>
      <c r="D264" t="str">
        <f t="shared" si="18"/>
        <v>Możliwa do wyłączenia</v>
      </c>
      <c r="L264" t="s">
        <v>570</v>
      </c>
      <c r="M264">
        <v>528.70000000000005</v>
      </c>
      <c r="N264" t="str">
        <f t="shared" si="19"/>
        <v>Area 1-110kV</v>
      </c>
    </row>
    <row r="265" spans="1:14" x14ac:dyDescent="0.25">
      <c r="A265">
        <v>528.77</v>
      </c>
      <c r="B265">
        <f t="shared" si="16"/>
        <v>1</v>
      </c>
      <c r="C265">
        <f t="shared" si="17"/>
        <v>1</v>
      </c>
      <c r="D265" t="str">
        <f t="shared" si="18"/>
        <v>Możliwa do wyłączenia</v>
      </c>
      <c r="L265" t="s">
        <v>570</v>
      </c>
      <c r="M265">
        <v>528.77</v>
      </c>
      <c r="N265" t="str">
        <f t="shared" si="19"/>
        <v>Area 1-110kV</v>
      </c>
    </row>
    <row r="266" spans="1:14" x14ac:dyDescent="0.25">
      <c r="A266">
        <v>53.43</v>
      </c>
      <c r="B266">
        <f t="shared" si="16"/>
        <v>1</v>
      </c>
      <c r="C266">
        <f t="shared" si="17"/>
        <v>1</v>
      </c>
      <c r="D266" t="str">
        <f t="shared" si="18"/>
        <v>Możliwa do wyłączenia</v>
      </c>
      <c r="L266" t="s">
        <v>570</v>
      </c>
      <c r="M266">
        <v>53.43</v>
      </c>
      <c r="N266" t="str">
        <f t="shared" si="19"/>
        <v>Area 1-110kV</v>
      </c>
    </row>
    <row r="267" spans="1:14" x14ac:dyDescent="0.25">
      <c r="A267">
        <v>53.54</v>
      </c>
      <c r="B267">
        <f t="shared" si="16"/>
        <v>1</v>
      </c>
      <c r="C267">
        <f t="shared" si="17"/>
        <v>1</v>
      </c>
      <c r="D267" t="str">
        <f t="shared" si="18"/>
        <v>Możliwa do wyłączenia</v>
      </c>
      <c r="L267" t="s">
        <v>570</v>
      </c>
      <c r="M267">
        <v>53.54</v>
      </c>
      <c r="N267" t="str">
        <f t="shared" si="19"/>
        <v>Area 1-110kV</v>
      </c>
    </row>
    <row r="268" spans="1:14" x14ac:dyDescent="0.25">
      <c r="A268">
        <v>55.54</v>
      </c>
      <c r="B268">
        <f t="shared" si="16"/>
        <v>1</v>
      </c>
      <c r="C268">
        <f t="shared" si="17"/>
        <v>1</v>
      </c>
      <c r="D268" t="str">
        <f t="shared" si="18"/>
        <v>Możliwa do wyłączenia</v>
      </c>
      <c r="L268" t="s">
        <v>570</v>
      </c>
      <c r="M268">
        <v>55.54</v>
      </c>
      <c r="N268" t="str">
        <f t="shared" si="19"/>
        <v>Area 1-110kV</v>
      </c>
    </row>
    <row r="269" spans="1:14" x14ac:dyDescent="0.25">
      <c r="A269">
        <v>57.55</v>
      </c>
      <c r="B269">
        <f t="shared" si="16"/>
        <v>1</v>
      </c>
      <c r="C269">
        <f t="shared" si="17"/>
        <v>1</v>
      </c>
      <c r="D269" t="str">
        <f t="shared" si="18"/>
        <v>Możliwa do wyłączenia</v>
      </c>
      <c r="L269" t="s">
        <v>570</v>
      </c>
      <c r="M269">
        <v>57.55</v>
      </c>
      <c r="N269" t="str">
        <f t="shared" si="19"/>
        <v>Area 1-110kV</v>
      </c>
    </row>
    <row r="270" spans="1:14" x14ac:dyDescent="0.25">
      <c r="A270">
        <v>57.58</v>
      </c>
      <c r="B270">
        <f t="shared" si="16"/>
        <v>1</v>
      </c>
      <c r="C270">
        <f t="shared" si="17"/>
        <v>1</v>
      </c>
      <c r="D270" t="str">
        <f t="shared" si="18"/>
        <v>Możliwa do wyłączenia</v>
      </c>
      <c r="L270" t="s">
        <v>570</v>
      </c>
      <c r="M270">
        <v>57.58</v>
      </c>
      <c r="N270" t="str">
        <f t="shared" si="19"/>
        <v>Area 1-110kV</v>
      </c>
    </row>
    <row r="271" spans="1:14" x14ac:dyDescent="0.25">
      <c r="A271">
        <v>59.58</v>
      </c>
      <c r="B271">
        <f t="shared" si="16"/>
        <v>1</v>
      </c>
      <c r="C271">
        <f t="shared" si="17"/>
        <v>1</v>
      </c>
      <c r="D271" t="str">
        <f t="shared" si="18"/>
        <v>Możliwa do wyłączenia</v>
      </c>
      <c r="L271" t="s">
        <v>570</v>
      </c>
      <c r="M271">
        <v>59.58</v>
      </c>
      <c r="N271" t="str">
        <f t="shared" si="19"/>
        <v>Area 1-110kV</v>
      </c>
    </row>
    <row r="272" spans="1:14" x14ac:dyDescent="0.25">
      <c r="A272">
        <v>6.2</v>
      </c>
      <c r="B272">
        <f t="shared" si="16"/>
        <v>1</v>
      </c>
      <c r="C272">
        <f t="shared" si="17"/>
        <v>1</v>
      </c>
      <c r="D272" t="str">
        <f t="shared" si="18"/>
        <v>Możliwa do wyłączenia</v>
      </c>
      <c r="L272" t="s">
        <v>570</v>
      </c>
      <c r="M272">
        <v>6.2</v>
      </c>
      <c r="N272" t="str">
        <f t="shared" si="19"/>
        <v>Area 1-110kV</v>
      </c>
    </row>
    <row r="273" spans="1:14" x14ac:dyDescent="0.25">
      <c r="A273">
        <v>60.45</v>
      </c>
      <c r="B273">
        <f t="shared" si="16"/>
        <v>0</v>
      </c>
      <c r="C273" t="str">
        <f t="shared" si="17"/>
        <v>-</v>
      </c>
      <c r="D273" t="str">
        <f t="shared" si="18"/>
        <v>NIE wyłączać - przesyłowa</v>
      </c>
      <c r="L273" t="s">
        <v>567</v>
      </c>
      <c r="M273">
        <v>60.45</v>
      </c>
      <c r="N273" t="str">
        <f t="shared" si="19"/>
        <v>220kV</v>
      </c>
    </row>
    <row r="274" spans="1:14" x14ac:dyDescent="0.25">
      <c r="A274">
        <v>61.59</v>
      </c>
      <c r="B274">
        <f t="shared" si="16"/>
        <v>1</v>
      </c>
      <c r="C274">
        <f t="shared" si="17"/>
        <v>1</v>
      </c>
      <c r="D274" t="str">
        <f t="shared" si="18"/>
        <v>Możliwa do wyłączenia</v>
      </c>
      <c r="L274" t="s">
        <v>570</v>
      </c>
      <c r="M274">
        <v>61.59</v>
      </c>
      <c r="N274" t="str">
        <f t="shared" si="19"/>
        <v>Area 1-110kV</v>
      </c>
    </row>
    <row r="275" spans="1:14" x14ac:dyDescent="0.25">
      <c r="A275">
        <v>61.69</v>
      </c>
      <c r="B275">
        <f t="shared" si="16"/>
        <v>1</v>
      </c>
      <c r="C275">
        <f t="shared" si="17"/>
        <v>1</v>
      </c>
      <c r="D275" t="str">
        <f t="shared" si="18"/>
        <v>Możliwa do wyłączenia</v>
      </c>
      <c r="L275" t="s">
        <v>570</v>
      </c>
      <c r="M275">
        <v>61.69</v>
      </c>
      <c r="N275" t="str">
        <f t="shared" si="19"/>
        <v>Area 1-110kV</v>
      </c>
    </row>
    <row r="276" spans="1:14" x14ac:dyDescent="0.25">
      <c r="A276">
        <v>61.94</v>
      </c>
      <c r="B276">
        <f t="shared" si="16"/>
        <v>1</v>
      </c>
      <c r="C276">
        <f t="shared" si="17"/>
        <v>1</v>
      </c>
      <c r="D276" t="str">
        <f t="shared" si="18"/>
        <v>Możliwa do wyłączenia</v>
      </c>
      <c r="L276" t="s">
        <v>570</v>
      </c>
      <c r="M276">
        <v>61.94</v>
      </c>
      <c r="N276" t="str">
        <f t="shared" si="19"/>
        <v>Area 1-110kV</v>
      </c>
    </row>
    <row r="277" spans="1:14" x14ac:dyDescent="0.25">
      <c r="A277">
        <v>62.6</v>
      </c>
      <c r="B277">
        <f t="shared" si="16"/>
        <v>0</v>
      </c>
      <c r="C277" t="str">
        <f t="shared" si="17"/>
        <v>-</v>
      </c>
      <c r="D277" t="str">
        <f t="shared" si="18"/>
        <v>NIE wyłączać - przesyłowa</v>
      </c>
      <c r="L277" t="s">
        <v>567</v>
      </c>
      <c r="M277">
        <v>62.6</v>
      </c>
      <c r="N277" t="str">
        <f t="shared" si="19"/>
        <v>220kV</v>
      </c>
    </row>
    <row r="278" spans="1:14" x14ac:dyDescent="0.25">
      <c r="A278">
        <v>63.57</v>
      </c>
      <c r="B278">
        <f t="shared" si="16"/>
        <v>1</v>
      </c>
      <c r="C278">
        <f t="shared" si="17"/>
        <v>1</v>
      </c>
      <c r="D278" t="str">
        <f t="shared" si="18"/>
        <v>Możliwa do wyłączenia</v>
      </c>
      <c r="L278" t="s">
        <v>570</v>
      </c>
      <c r="M278">
        <v>63.57</v>
      </c>
      <c r="N278" t="str">
        <f t="shared" si="19"/>
        <v>Area 1-110kV</v>
      </c>
    </row>
    <row r="279" spans="1:14" x14ac:dyDescent="0.25">
      <c r="A279">
        <v>63.89</v>
      </c>
      <c r="B279">
        <f t="shared" si="16"/>
        <v>1</v>
      </c>
      <c r="C279">
        <f t="shared" si="17"/>
        <v>1</v>
      </c>
      <c r="D279" t="str">
        <f t="shared" si="18"/>
        <v>Możliwa do wyłączenia</v>
      </c>
      <c r="L279" t="s">
        <v>570</v>
      </c>
      <c r="M279">
        <v>63.89</v>
      </c>
      <c r="N279" t="str">
        <f t="shared" si="19"/>
        <v>Area 1-110kV</v>
      </c>
    </row>
    <row r="280" spans="1:14" x14ac:dyDescent="0.25">
      <c r="A280">
        <v>69.150000000000006</v>
      </c>
      <c r="B280">
        <f t="shared" si="16"/>
        <v>1</v>
      </c>
      <c r="C280">
        <f t="shared" si="17"/>
        <v>1</v>
      </c>
      <c r="D280" t="str">
        <f t="shared" si="18"/>
        <v>Możliwa do wyłączenia</v>
      </c>
      <c r="L280" t="s">
        <v>570</v>
      </c>
      <c r="M280">
        <v>69.150000000000006</v>
      </c>
      <c r="N280" t="str">
        <f t="shared" si="19"/>
        <v>Area 1-110kV</v>
      </c>
    </row>
    <row r="281" spans="1:14" x14ac:dyDescent="0.25">
      <c r="A281">
        <v>69.200999999999993</v>
      </c>
      <c r="B281">
        <f t="shared" si="16"/>
        <v>1</v>
      </c>
      <c r="C281">
        <f t="shared" si="17"/>
        <v>1</v>
      </c>
      <c r="D281" t="str">
        <f t="shared" si="18"/>
        <v>Możliwa do wyłączenia</v>
      </c>
      <c r="L281" t="s">
        <v>570</v>
      </c>
      <c r="M281">
        <v>69.200999999999993</v>
      </c>
      <c r="N281" t="str">
        <f t="shared" si="19"/>
        <v>Area 1-110kV</v>
      </c>
    </row>
    <row r="282" spans="1:14" x14ac:dyDescent="0.25">
      <c r="A282">
        <v>69.210999999999999</v>
      </c>
      <c r="B282">
        <f t="shared" si="16"/>
        <v>1</v>
      </c>
      <c r="C282">
        <f t="shared" si="17"/>
        <v>1</v>
      </c>
      <c r="D282" t="str">
        <f t="shared" si="18"/>
        <v>Możliwa do wyłączenia</v>
      </c>
      <c r="L282" t="s">
        <v>570</v>
      </c>
      <c r="M282">
        <v>69.210999999999999</v>
      </c>
      <c r="N282" t="str">
        <f t="shared" si="19"/>
        <v>Area 1-110kV</v>
      </c>
    </row>
    <row r="283" spans="1:14" x14ac:dyDescent="0.25">
      <c r="A283">
        <v>69.63</v>
      </c>
      <c r="B283">
        <f t="shared" si="16"/>
        <v>1</v>
      </c>
      <c r="C283">
        <f t="shared" si="17"/>
        <v>1</v>
      </c>
      <c r="D283" t="str">
        <f t="shared" si="18"/>
        <v>Możliwa do wyłączenia</v>
      </c>
      <c r="L283" t="s">
        <v>570</v>
      </c>
      <c r="M283">
        <v>69.63</v>
      </c>
      <c r="N283" t="str">
        <f t="shared" si="19"/>
        <v>Area 1-110kV</v>
      </c>
    </row>
    <row r="284" spans="1:14" x14ac:dyDescent="0.25">
      <c r="A284">
        <v>69.790000000000006</v>
      </c>
      <c r="B284">
        <f t="shared" si="16"/>
        <v>1</v>
      </c>
      <c r="C284">
        <f t="shared" si="17"/>
        <v>1</v>
      </c>
      <c r="D284" t="str">
        <f t="shared" si="18"/>
        <v>Możliwa do wyłączenia</v>
      </c>
      <c r="L284" t="s">
        <v>570</v>
      </c>
      <c r="M284">
        <v>69.790000000000006</v>
      </c>
      <c r="N284" t="str">
        <f t="shared" si="19"/>
        <v>Area 1-110kV</v>
      </c>
    </row>
    <row r="285" spans="1:14" x14ac:dyDescent="0.25">
      <c r="A285">
        <v>7.3</v>
      </c>
      <c r="B285">
        <f t="shared" si="16"/>
        <v>0</v>
      </c>
      <c r="C285" t="str">
        <f t="shared" si="17"/>
        <v>-</v>
      </c>
      <c r="D285" t="str">
        <f t="shared" si="18"/>
        <v>NIE wyłączać - przesyłowa</v>
      </c>
      <c r="L285" t="s">
        <v>567</v>
      </c>
      <c r="M285">
        <v>7.3</v>
      </c>
      <c r="N285" t="str">
        <f t="shared" si="19"/>
        <v>220kV</v>
      </c>
    </row>
    <row r="286" spans="1:14" x14ac:dyDescent="0.25">
      <c r="A286">
        <v>70.709999999999994</v>
      </c>
      <c r="B286">
        <f t="shared" si="16"/>
        <v>0</v>
      </c>
      <c r="C286" t="str">
        <f t="shared" si="17"/>
        <v>-</v>
      </c>
      <c r="D286" t="str">
        <f t="shared" si="18"/>
        <v>Linia wyłączona w n-1</v>
      </c>
      <c r="L286" t="s">
        <v>570</v>
      </c>
      <c r="M286">
        <v>70.709999999999994</v>
      </c>
      <c r="N286" t="str">
        <f t="shared" si="19"/>
        <v>Wył</v>
      </c>
    </row>
    <row r="287" spans="1:14" x14ac:dyDescent="0.25">
      <c r="A287">
        <v>71.72</v>
      </c>
      <c r="B287">
        <f t="shared" si="16"/>
        <v>1</v>
      </c>
      <c r="C287">
        <f t="shared" si="17"/>
        <v>1</v>
      </c>
      <c r="D287" t="str">
        <f t="shared" si="18"/>
        <v>Możliwa do wyłączenia</v>
      </c>
      <c r="L287" t="s">
        <v>570</v>
      </c>
      <c r="M287">
        <v>71.72</v>
      </c>
      <c r="N287" t="str">
        <f t="shared" si="19"/>
        <v>Area 1-110kV</v>
      </c>
    </row>
    <row r="288" spans="1:14" x14ac:dyDescent="0.25">
      <c r="A288">
        <v>72.111999999999995</v>
      </c>
      <c r="B288">
        <f t="shared" si="16"/>
        <v>1</v>
      </c>
      <c r="C288">
        <f t="shared" si="17"/>
        <v>1</v>
      </c>
      <c r="D288" t="str">
        <f t="shared" si="18"/>
        <v>Możliwa do wyłączenia</v>
      </c>
      <c r="L288" t="s">
        <v>570</v>
      </c>
      <c r="M288">
        <v>72.111999999999995</v>
      </c>
      <c r="N288" t="str">
        <f t="shared" si="19"/>
        <v>Area 1-110kV</v>
      </c>
    </row>
    <row r="289" spans="1:14" x14ac:dyDescent="0.25">
      <c r="A289">
        <v>72.531000000000006</v>
      </c>
      <c r="B289">
        <f t="shared" si="16"/>
        <v>1</v>
      </c>
      <c r="C289">
        <f t="shared" si="17"/>
        <v>1</v>
      </c>
      <c r="D289" t="str">
        <f t="shared" si="18"/>
        <v>Możliwa do wyłączenia</v>
      </c>
      <c r="L289" t="s">
        <v>570</v>
      </c>
      <c r="M289">
        <v>72.531000000000006</v>
      </c>
      <c r="N289" t="str">
        <f t="shared" si="19"/>
        <v>Area 1-110kV</v>
      </c>
    </row>
    <row r="290" spans="1:14" x14ac:dyDescent="0.25">
      <c r="A290">
        <v>73.709999999999994</v>
      </c>
      <c r="B290">
        <f t="shared" si="16"/>
        <v>1</v>
      </c>
      <c r="C290">
        <f t="shared" si="17"/>
        <v>1</v>
      </c>
      <c r="D290" t="str">
        <f t="shared" si="18"/>
        <v>Możliwa do wyłączenia</v>
      </c>
      <c r="L290" t="s">
        <v>570</v>
      </c>
      <c r="M290">
        <v>73.709999999999994</v>
      </c>
      <c r="N290" t="str">
        <f t="shared" si="19"/>
        <v>Area 1-110kV</v>
      </c>
    </row>
    <row r="291" spans="1:14" x14ac:dyDescent="0.25">
      <c r="A291">
        <v>73.760000000000005</v>
      </c>
      <c r="B291">
        <f t="shared" si="16"/>
        <v>1</v>
      </c>
      <c r="C291">
        <f t="shared" si="17"/>
        <v>1</v>
      </c>
      <c r="D291" t="str">
        <f t="shared" si="18"/>
        <v>Możliwa do wyłączenia</v>
      </c>
      <c r="L291" t="s">
        <v>570</v>
      </c>
      <c r="M291">
        <v>73.760000000000005</v>
      </c>
      <c r="N291" t="str">
        <f t="shared" si="19"/>
        <v>Area 1-110kV</v>
      </c>
    </row>
    <row r="292" spans="1:14" x14ac:dyDescent="0.25">
      <c r="A292">
        <v>76.77</v>
      </c>
      <c r="B292">
        <f t="shared" si="16"/>
        <v>1</v>
      </c>
      <c r="C292">
        <f t="shared" si="17"/>
        <v>1</v>
      </c>
      <c r="D292" t="str">
        <f t="shared" si="18"/>
        <v>Możliwa do wyłączenia</v>
      </c>
      <c r="L292" t="s">
        <v>570</v>
      </c>
      <c r="M292">
        <v>76.77</v>
      </c>
      <c r="N292" t="str">
        <f t="shared" si="19"/>
        <v>Area 1-110kV</v>
      </c>
    </row>
    <row r="293" spans="1:14" x14ac:dyDescent="0.25">
      <c r="A293">
        <v>76.900099999999995</v>
      </c>
      <c r="B293">
        <f t="shared" si="16"/>
        <v>1</v>
      </c>
      <c r="C293">
        <f t="shared" si="17"/>
        <v>1</v>
      </c>
      <c r="D293" t="str">
        <f t="shared" si="18"/>
        <v>Możliwa do wyłączenia</v>
      </c>
      <c r="L293" t="s">
        <v>570</v>
      </c>
      <c r="M293">
        <v>76.900099999999995</v>
      </c>
      <c r="N293" t="str">
        <f t="shared" si="19"/>
        <v>Area 1-110kV</v>
      </c>
    </row>
    <row r="294" spans="1:14" x14ac:dyDescent="0.25">
      <c r="A294">
        <v>77.552000000000007</v>
      </c>
      <c r="B294">
        <f t="shared" si="16"/>
        <v>1</v>
      </c>
      <c r="C294">
        <f t="shared" si="17"/>
        <v>1</v>
      </c>
      <c r="D294" t="str">
        <f t="shared" si="18"/>
        <v>Możliwa do wyłączenia</v>
      </c>
      <c r="L294" t="s">
        <v>570</v>
      </c>
      <c r="M294">
        <v>77.552000000000007</v>
      </c>
      <c r="N294" t="str">
        <f t="shared" si="19"/>
        <v>Area 1-110kV</v>
      </c>
    </row>
    <row r="295" spans="1:14" x14ac:dyDescent="0.25">
      <c r="A295">
        <v>77.608999999999995</v>
      </c>
      <c r="B295">
        <f t="shared" si="16"/>
        <v>1</v>
      </c>
      <c r="C295">
        <f t="shared" si="17"/>
        <v>1</v>
      </c>
      <c r="D295" t="str">
        <f t="shared" si="18"/>
        <v>Możliwa do wyłączenia</v>
      </c>
      <c r="L295" t="s">
        <v>570</v>
      </c>
      <c r="M295">
        <v>77.608999999999995</v>
      </c>
      <c r="N295" t="str">
        <f t="shared" si="19"/>
        <v>Area 1-110kV</v>
      </c>
    </row>
    <row r="296" spans="1:14" x14ac:dyDescent="0.25">
      <c r="A296">
        <v>77.72</v>
      </c>
      <c r="B296">
        <f t="shared" si="16"/>
        <v>1</v>
      </c>
      <c r="C296">
        <f t="shared" si="17"/>
        <v>1</v>
      </c>
      <c r="D296" t="str">
        <f t="shared" si="18"/>
        <v>Możliwa do wyłączenia</v>
      </c>
      <c r="L296" t="s">
        <v>570</v>
      </c>
      <c r="M296">
        <v>77.72</v>
      </c>
      <c r="N296" t="str">
        <f t="shared" si="19"/>
        <v>Area 1-110kV</v>
      </c>
    </row>
    <row r="297" spans="1:14" x14ac:dyDescent="0.25">
      <c r="A297">
        <v>77.78</v>
      </c>
      <c r="B297">
        <f t="shared" si="16"/>
        <v>1</v>
      </c>
      <c r="C297">
        <f t="shared" si="17"/>
        <v>1</v>
      </c>
      <c r="D297" t="str">
        <f t="shared" si="18"/>
        <v>Możliwa do wyłączenia</v>
      </c>
      <c r="L297" t="s">
        <v>570</v>
      </c>
      <c r="M297">
        <v>77.78</v>
      </c>
      <c r="N297" t="str">
        <f t="shared" si="19"/>
        <v>Area 1-110kV</v>
      </c>
    </row>
    <row r="298" spans="1:14" x14ac:dyDescent="0.25">
      <c r="A298">
        <v>77.8</v>
      </c>
      <c r="B298">
        <f t="shared" si="16"/>
        <v>1</v>
      </c>
      <c r="C298">
        <f t="shared" si="17"/>
        <v>1</v>
      </c>
      <c r="D298" t="str">
        <f t="shared" si="18"/>
        <v>Możliwa do wyłączenia</v>
      </c>
      <c r="L298" t="s">
        <v>570</v>
      </c>
      <c r="M298">
        <v>77.8</v>
      </c>
      <c r="N298" t="str">
        <f t="shared" si="19"/>
        <v>Area 1-110kV</v>
      </c>
    </row>
    <row r="299" spans="1:14" x14ac:dyDescent="0.25">
      <c r="A299">
        <v>771.19500000000005</v>
      </c>
      <c r="B299">
        <f t="shared" si="16"/>
        <v>0</v>
      </c>
      <c r="C299" t="str">
        <f t="shared" si="17"/>
        <v>-</v>
      </c>
      <c r="D299" t="str">
        <f t="shared" si="18"/>
        <v>NIE wyłączać - przesyłowa</v>
      </c>
      <c r="L299" t="s">
        <v>568</v>
      </c>
      <c r="M299">
        <v>771.19500000000005</v>
      </c>
      <c r="N299" t="str">
        <f t="shared" si="19"/>
        <v>400kV</v>
      </c>
    </row>
    <row r="300" spans="1:14" x14ac:dyDescent="0.25">
      <c r="A300">
        <v>771.37099999999998</v>
      </c>
      <c r="B300">
        <f t="shared" si="16"/>
        <v>0</v>
      </c>
      <c r="C300" t="str">
        <f t="shared" si="17"/>
        <v>-</v>
      </c>
      <c r="D300" t="str">
        <f t="shared" si="18"/>
        <v>NIE wyłączać - przesyłowa</v>
      </c>
      <c r="L300" t="s">
        <v>568</v>
      </c>
      <c r="M300">
        <v>771.37099999999998</v>
      </c>
      <c r="N300" t="str">
        <f t="shared" si="19"/>
        <v>400kV</v>
      </c>
    </row>
    <row r="301" spans="1:14" x14ac:dyDescent="0.25">
      <c r="A301">
        <v>78.84</v>
      </c>
      <c r="B301">
        <f t="shared" si="16"/>
        <v>1</v>
      </c>
      <c r="C301">
        <f t="shared" si="17"/>
        <v>1</v>
      </c>
      <c r="D301" t="str">
        <f t="shared" si="18"/>
        <v>Możliwa do wyłączenia</v>
      </c>
      <c r="L301" t="s">
        <v>570</v>
      </c>
      <c r="M301">
        <v>78.84</v>
      </c>
      <c r="N301" t="str">
        <f t="shared" si="19"/>
        <v>Area 1-110kV</v>
      </c>
    </row>
    <row r="302" spans="1:14" x14ac:dyDescent="0.25">
      <c r="A302">
        <v>789.20799999999997</v>
      </c>
      <c r="B302">
        <f t="shared" si="16"/>
        <v>0</v>
      </c>
      <c r="C302" t="str">
        <f t="shared" si="17"/>
        <v>-</v>
      </c>
      <c r="D302" t="str">
        <f t="shared" si="18"/>
        <v>Obcy obszar</v>
      </c>
      <c r="L302" t="s">
        <v>572</v>
      </c>
      <c r="M302">
        <v>789.20799999999997</v>
      </c>
      <c r="N302" t="str">
        <f t="shared" si="19"/>
        <v>Area 3-110kV</v>
      </c>
    </row>
    <row r="303" spans="1:14" x14ac:dyDescent="0.25">
      <c r="A303">
        <v>789.20899999999995</v>
      </c>
      <c r="B303">
        <f t="shared" si="16"/>
        <v>0</v>
      </c>
      <c r="C303" t="str">
        <f t="shared" si="17"/>
        <v>-</v>
      </c>
      <c r="D303" t="str">
        <f t="shared" si="18"/>
        <v>Obcy obszar</v>
      </c>
      <c r="L303" t="s">
        <v>572</v>
      </c>
      <c r="M303">
        <v>789.20899999999995</v>
      </c>
      <c r="N303" t="str">
        <f t="shared" si="19"/>
        <v>Area 3-110kV</v>
      </c>
    </row>
    <row r="304" spans="1:14" x14ac:dyDescent="0.25">
      <c r="A304">
        <v>789.21</v>
      </c>
      <c r="B304">
        <f t="shared" si="16"/>
        <v>0</v>
      </c>
      <c r="C304" t="str">
        <f t="shared" si="17"/>
        <v>-</v>
      </c>
      <c r="D304" t="str">
        <f t="shared" si="18"/>
        <v>Obcy obszar</v>
      </c>
      <c r="L304" t="s">
        <v>572</v>
      </c>
      <c r="M304">
        <v>789.21</v>
      </c>
      <c r="N304" t="str">
        <f t="shared" si="19"/>
        <v>Area 3-110kV</v>
      </c>
    </row>
    <row r="305" spans="1:14" x14ac:dyDescent="0.25">
      <c r="A305">
        <v>79.73</v>
      </c>
      <c r="B305">
        <f t="shared" si="16"/>
        <v>1</v>
      </c>
      <c r="C305">
        <f t="shared" si="17"/>
        <v>1</v>
      </c>
      <c r="D305" t="str">
        <f t="shared" si="18"/>
        <v>Możliwa do wyłączenia</v>
      </c>
      <c r="L305" t="s">
        <v>570</v>
      </c>
      <c r="M305">
        <v>79.73</v>
      </c>
      <c r="N305" t="str">
        <f t="shared" si="19"/>
        <v>Area 1-110kV</v>
      </c>
    </row>
    <row r="306" spans="1:14" x14ac:dyDescent="0.25">
      <c r="A306">
        <v>79.78</v>
      </c>
      <c r="B306">
        <f t="shared" si="16"/>
        <v>1</v>
      </c>
      <c r="C306">
        <f t="shared" si="17"/>
        <v>1</v>
      </c>
      <c r="D306" t="str">
        <f t="shared" si="18"/>
        <v>Możliwa do wyłączenia</v>
      </c>
      <c r="L306" t="s">
        <v>570</v>
      </c>
      <c r="M306">
        <v>79.78</v>
      </c>
      <c r="N306" t="str">
        <f t="shared" si="19"/>
        <v>Area 1-110kV</v>
      </c>
    </row>
    <row r="307" spans="1:14" x14ac:dyDescent="0.25">
      <c r="A307">
        <v>8.14</v>
      </c>
      <c r="B307">
        <f t="shared" si="16"/>
        <v>1</v>
      </c>
      <c r="C307">
        <f t="shared" si="17"/>
        <v>1</v>
      </c>
      <c r="D307" t="str">
        <f t="shared" si="18"/>
        <v>Możliwa do wyłączenia</v>
      </c>
      <c r="L307" t="s">
        <v>570</v>
      </c>
      <c r="M307">
        <v>8.14</v>
      </c>
      <c r="N307" t="str">
        <f t="shared" si="19"/>
        <v>Area 1-110kV</v>
      </c>
    </row>
    <row r="308" spans="1:14" x14ac:dyDescent="0.25">
      <c r="A308">
        <v>8.1999999999999993</v>
      </c>
      <c r="B308">
        <f t="shared" si="16"/>
        <v>1</v>
      </c>
      <c r="C308">
        <f t="shared" si="17"/>
        <v>1</v>
      </c>
      <c r="D308" t="str">
        <f t="shared" si="18"/>
        <v>Możliwa do wyłączenia</v>
      </c>
      <c r="L308" t="s">
        <v>570</v>
      </c>
      <c r="M308">
        <v>8.1999999999999993</v>
      </c>
      <c r="N308" t="str">
        <f t="shared" si="19"/>
        <v>Area 1-110kV</v>
      </c>
    </row>
    <row r="309" spans="1:14" x14ac:dyDescent="0.25">
      <c r="A309">
        <v>81.194999999999993</v>
      </c>
      <c r="B309">
        <f t="shared" si="16"/>
        <v>0</v>
      </c>
      <c r="C309" t="str">
        <f t="shared" si="17"/>
        <v>-</v>
      </c>
      <c r="D309" t="str">
        <f t="shared" si="18"/>
        <v>NIE wyłączać - przesyłowa</v>
      </c>
      <c r="L309" t="s">
        <v>568</v>
      </c>
      <c r="M309">
        <v>81.194999999999993</v>
      </c>
      <c r="N309" t="str">
        <f t="shared" si="19"/>
        <v>400kV</v>
      </c>
    </row>
    <row r="310" spans="1:14" x14ac:dyDescent="0.25">
      <c r="A310">
        <v>81.459999999999994</v>
      </c>
      <c r="B310">
        <f t="shared" si="16"/>
        <v>0</v>
      </c>
      <c r="C310" t="str">
        <f t="shared" si="17"/>
        <v>-</v>
      </c>
      <c r="D310" t="str">
        <f t="shared" si="18"/>
        <v>NIE wyłączać - przesyłowa</v>
      </c>
      <c r="L310" t="s">
        <v>568</v>
      </c>
      <c r="M310">
        <v>81.459999999999994</v>
      </c>
      <c r="N310" t="str">
        <f t="shared" si="19"/>
        <v>400kV</v>
      </c>
    </row>
    <row r="311" spans="1:14" x14ac:dyDescent="0.25">
      <c r="A311">
        <v>81.771000000000001</v>
      </c>
      <c r="B311">
        <f t="shared" si="16"/>
        <v>0</v>
      </c>
      <c r="C311" t="str">
        <f t="shared" si="17"/>
        <v>-</v>
      </c>
      <c r="D311" t="str">
        <f t="shared" si="18"/>
        <v>NIE wyłączać - przesyłowa</v>
      </c>
      <c r="L311" t="s">
        <v>568</v>
      </c>
      <c r="M311">
        <v>81.771000000000001</v>
      </c>
      <c r="N311" t="str">
        <f t="shared" si="19"/>
        <v>400kV</v>
      </c>
    </row>
    <row r="312" spans="1:14" x14ac:dyDescent="0.25">
      <c r="A312">
        <v>86.322999999999993</v>
      </c>
      <c r="B312">
        <f t="shared" si="16"/>
        <v>0</v>
      </c>
      <c r="C312" t="str">
        <f t="shared" si="17"/>
        <v>-</v>
      </c>
      <c r="D312" t="str">
        <f t="shared" si="18"/>
        <v>NIE wyłączać - przesyłowa</v>
      </c>
      <c r="L312" t="s">
        <v>567</v>
      </c>
      <c r="M312">
        <v>86.322999999999993</v>
      </c>
      <c r="N312" t="str">
        <f t="shared" si="19"/>
        <v>220kV</v>
      </c>
    </row>
    <row r="313" spans="1:14" x14ac:dyDescent="0.25">
      <c r="A313">
        <v>87.86</v>
      </c>
      <c r="B313">
        <f t="shared" si="16"/>
        <v>0</v>
      </c>
      <c r="C313" t="str">
        <f t="shared" si="17"/>
        <v>-</v>
      </c>
      <c r="D313" t="str">
        <f t="shared" si="18"/>
        <v>NIE wyłączać - przesyłowa</v>
      </c>
      <c r="L313" t="s">
        <v>567</v>
      </c>
      <c r="M313">
        <v>87.86</v>
      </c>
      <c r="N313" t="str">
        <f t="shared" si="19"/>
        <v>220kV</v>
      </c>
    </row>
    <row r="314" spans="1:14" x14ac:dyDescent="0.25">
      <c r="A314">
        <v>88.74</v>
      </c>
      <c r="B314">
        <f t="shared" si="16"/>
        <v>0</v>
      </c>
      <c r="C314" t="str">
        <f t="shared" si="17"/>
        <v>-</v>
      </c>
      <c r="D314" t="str">
        <f t="shared" si="18"/>
        <v>NIE wyłączać - przesyłowa</v>
      </c>
      <c r="L314" t="s">
        <v>567</v>
      </c>
      <c r="M314">
        <v>88.74</v>
      </c>
      <c r="N314" t="str">
        <f t="shared" si="19"/>
        <v>220kV</v>
      </c>
    </row>
    <row r="315" spans="1:14" x14ac:dyDescent="0.25">
      <c r="A315">
        <v>89.15</v>
      </c>
      <c r="B315">
        <f t="shared" si="16"/>
        <v>1</v>
      </c>
      <c r="C315">
        <f t="shared" si="17"/>
        <v>1</v>
      </c>
      <c r="D315" t="str">
        <f t="shared" si="18"/>
        <v>Możliwa do wyłączenia</v>
      </c>
      <c r="L315" t="s">
        <v>570</v>
      </c>
      <c r="M315">
        <v>89.15</v>
      </c>
      <c r="N315" t="str">
        <f t="shared" si="19"/>
        <v>Area 1-110kV</v>
      </c>
    </row>
    <row r="316" spans="1:14" x14ac:dyDescent="0.25">
      <c r="A316">
        <v>89.91</v>
      </c>
      <c r="B316">
        <f t="shared" si="16"/>
        <v>1</v>
      </c>
      <c r="C316">
        <f t="shared" si="17"/>
        <v>1</v>
      </c>
      <c r="D316" t="str">
        <f t="shared" si="18"/>
        <v>Możliwa do wyłączenia</v>
      </c>
      <c r="L316" t="s">
        <v>570</v>
      </c>
      <c r="M316">
        <v>89.91</v>
      </c>
      <c r="N316" t="str">
        <f t="shared" si="19"/>
        <v>Area 1-110kV</v>
      </c>
    </row>
    <row r="317" spans="1:14" x14ac:dyDescent="0.25">
      <c r="A317">
        <v>90.37</v>
      </c>
      <c r="B317">
        <f t="shared" si="16"/>
        <v>1</v>
      </c>
      <c r="C317">
        <f t="shared" si="17"/>
        <v>1</v>
      </c>
      <c r="D317" t="str">
        <f t="shared" si="18"/>
        <v>Możliwa do wyłączenia</v>
      </c>
      <c r="L317" t="s">
        <v>570</v>
      </c>
      <c r="M317">
        <v>90.37</v>
      </c>
      <c r="N317" t="str">
        <f t="shared" si="19"/>
        <v>Area 1-110kV</v>
      </c>
    </row>
    <row r="318" spans="1:14" x14ac:dyDescent="0.25">
      <c r="A318">
        <v>9001.5519999999997</v>
      </c>
      <c r="B318">
        <f t="shared" si="16"/>
        <v>1</v>
      </c>
      <c r="C318">
        <f t="shared" si="17"/>
        <v>1</v>
      </c>
      <c r="D318" t="str">
        <f t="shared" si="18"/>
        <v>Możliwa do wyłączenia</v>
      </c>
      <c r="L318" t="s">
        <v>570</v>
      </c>
      <c r="M318">
        <v>9001.5519999999997</v>
      </c>
      <c r="N318" t="str">
        <f t="shared" si="19"/>
        <v>Area 1-110kV</v>
      </c>
    </row>
    <row r="319" spans="1:14" x14ac:dyDescent="0.25">
      <c r="A319">
        <v>91.94</v>
      </c>
      <c r="B319">
        <f t="shared" si="16"/>
        <v>1</v>
      </c>
      <c r="C319">
        <f t="shared" si="17"/>
        <v>1</v>
      </c>
      <c r="D319" t="str">
        <f t="shared" si="18"/>
        <v>Możliwa do wyłączenia</v>
      </c>
      <c r="L319" t="s">
        <v>570</v>
      </c>
      <c r="M319">
        <v>91.94</v>
      </c>
      <c r="N319" t="str">
        <f t="shared" si="19"/>
        <v>Area 1-110kV</v>
      </c>
    </row>
    <row r="320" spans="1:14" x14ac:dyDescent="0.25">
      <c r="A320">
        <v>92.102999999999994</v>
      </c>
      <c r="B320">
        <f t="shared" si="16"/>
        <v>1</v>
      </c>
      <c r="C320">
        <f t="shared" si="17"/>
        <v>1</v>
      </c>
      <c r="D320" t="str">
        <f t="shared" si="18"/>
        <v>Możliwa do wyłączenia</v>
      </c>
      <c r="L320" t="s">
        <v>570</v>
      </c>
      <c r="M320">
        <v>92.102999999999994</v>
      </c>
      <c r="N320" t="str">
        <f t="shared" si="19"/>
        <v>Area 1-110kV</v>
      </c>
    </row>
    <row r="321" spans="1:14" x14ac:dyDescent="0.25">
      <c r="A321">
        <v>92.105000000000004</v>
      </c>
      <c r="B321">
        <f t="shared" si="16"/>
        <v>1</v>
      </c>
      <c r="C321">
        <f t="shared" si="17"/>
        <v>1</v>
      </c>
      <c r="D321" t="str">
        <f t="shared" si="18"/>
        <v>Możliwa do wyłączenia</v>
      </c>
      <c r="L321" t="s">
        <v>570</v>
      </c>
      <c r="M321">
        <v>92.105000000000004</v>
      </c>
      <c r="N321" t="str">
        <f t="shared" si="19"/>
        <v>Area 1-110kV</v>
      </c>
    </row>
    <row r="322" spans="1:14" x14ac:dyDescent="0.25">
      <c r="A322">
        <v>92.9</v>
      </c>
      <c r="B322">
        <f t="shared" ref="B322:B329" si="20">_xlfn.XLOOKUP($N322,$P$2:$P$13,$Q$2:$Q$13)</f>
        <v>1</v>
      </c>
      <c r="C322">
        <f t="shared" ref="C322:C329" si="21">_xlfn.XLOOKUP($N322,$P$2:$P$13,$R$2:$R$13)</f>
        <v>1</v>
      </c>
      <c r="D322" t="str">
        <f t="shared" ref="D322:D329" si="22">_xlfn.XLOOKUP($N322,$P$2:$P$13,$S$2:$S$13)</f>
        <v>Możliwa do wyłączenia</v>
      </c>
      <c r="L322" t="s">
        <v>570</v>
      </c>
      <c r="M322">
        <v>92.9</v>
      </c>
      <c r="N322" t="str">
        <f t="shared" si="19"/>
        <v>Area 1-110kV</v>
      </c>
    </row>
    <row r="323" spans="1:14" x14ac:dyDescent="0.25">
      <c r="A323">
        <v>94.1</v>
      </c>
      <c r="B323">
        <f t="shared" si="20"/>
        <v>1</v>
      </c>
      <c r="C323">
        <f t="shared" si="21"/>
        <v>1</v>
      </c>
      <c r="D323" t="str">
        <f t="shared" si="22"/>
        <v>Możliwa do wyłączenia</v>
      </c>
      <c r="L323" t="s">
        <v>570</v>
      </c>
      <c r="M323">
        <v>94.1</v>
      </c>
      <c r="N323" t="str">
        <f t="shared" ref="N323:N329" si="23">_xlfn.XLOOKUP(M323,$I$8:$I$15,$J$8:$J$15,L323)</f>
        <v>Area 1-110kV</v>
      </c>
    </row>
    <row r="324" spans="1:14" x14ac:dyDescent="0.25">
      <c r="A324">
        <v>97.102000000000004</v>
      </c>
      <c r="B324">
        <f t="shared" si="20"/>
        <v>1</v>
      </c>
      <c r="C324">
        <f t="shared" si="21"/>
        <v>1</v>
      </c>
      <c r="D324" t="str">
        <f t="shared" si="22"/>
        <v>Możliwa do wyłączenia</v>
      </c>
      <c r="L324" t="s">
        <v>570</v>
      </c>
      <c r="M324">
        <v>97.102000000000004</v>
      </c>
      <c r="N324" t="str">
        <f t="shared" si="23"/>
        <v>Area 1-110kV</v>
      </c>
    </row>
    <row r="325" spans="1:14" x14ac:dyDescent="0.25">
      <c r="A325">
        <v>97.102999999999994</v>
      </c>
      <c r="B325">
        <f t="shared" si="20"/>
        <v>1</v>
      </c>
      <c r="C325">
        <f t="shared" si="21"/>
        <v>1</v>
      </c>
      <c r="D325" t="str">
        <f t="shared" si="22"/>
        <v>Możliwa do wyłączenia</v>
      </c>
      <c r="L325" t="s">
        <v>570</v>
      </c>
      <c r="M325">
        <v>97.102999999999994</v>
      </c>
      <c r="N325" t="str">
        <f t="shared" si="23"/>
        <v>Area 1-110kV</v>
      </c>
    </row>
    <row r="326" spans="1:14" x14ac:dyDescent="0.25">
      <c r="A326">
        <v>97.91</v>
      </c>
      <c r="B326">
        <f t="shared" si="20"/>
        <v>1</v>
      </c>
      <c r="C326">
        <f t="shared" si="21"/>
        <v>1</v>
      </c>
      <c r="D326" t="str">
        <f t="shared" si="22"/>
        <v>Możliwa do wyłączenia</v>
      </c>
      <c r="L326" t="s">
        <v>570</v>
      </c>
      <c r="M326">
        <v>97.91</v>
      </c>
      <c r="N326" t="str">
        <f t="shared" si="23"/>
        <v>Area 1-110kV</v>
      </c>
    </row>
    <row r="327" spans="1:14" x14ac:dyDescent="0.25">
      <c r="A327">
        <v>98.1</v>
      </c>
      <c r="B327">
        <f t="shared" si="20"/>
        <v>1</v>
      </c>
      <c r="C327">
        <f t="shared" si="21"/>
        <v>1</v>
      </c>
      <c r="D327" t="str">
        <f t="shared" si="22"/>
        <v>Możliwa do wyłączenia</v>
      </c>
      <c r="L327" t="s">
        <v>570</v>
      </c>
      <c r="M327">
        <v>98.1</v>
      </c>
      <c r="N327" t="str">
        <f t="shared" si="23"/>
        <v>Area 1-110kV</v>
      </c>
    </row>
    <row r="328" spans="1:14" x14ac:dyDescent="0.25">
      <c r="A328">
        <v>99.108000000000004</v>
      </c>
      <c r="B328">
        <f t="shared" si="20"/>
        <v>1</v>
      </c>
      <c r="C328">
        <f t="shared" si="21"/>
        <v>1</v>
      </c>
      <c r="D328" t="str">
        <f t="shared" si="22"/>
        <v>Możliwa do wyłączenia</v>
      </c>
      <c r="L328" t="s">
        <v>570</v>
      </c>
      <c r="M328">
        <v>99.108000000000004</v>
      </c>
      <c r="N328" t="str">
        <f t="shared" si="23"/>
        <v>Area 1-110kV</v>
      </c>
    </row>
    <row r="329" spans="1:14" x14ac:dyDescent="0.25">
      <c r="A329">
        <v>99.11</v>
      </c>
      <c r="B329">
        <f t="shared" si="20"/>
        <v>1</v>
      </c>
      <c r="C329">
        <f t="shared" si="21"/>
        <v>1</v>
      </c>
      <c r="D329" t="str">
        <f t="shared" si="22"/>
        <v>Możliwa do wyłączenia</v>
      </c>
      <c r="L329" t="s">
        <v>570</v>
      </c>
      <c r="M329">
        <v>99.11</v>
      </c>
      <c r="N329" t="str">
        <f t="shared" si="23"/>
        <v>Area 1-110kV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2AB5-F9DD-41A2-94D4-27BED4EA3F5C}">
  <sheetPr codeName="Arkusz7"/>
  <dimension ref="A1:T37"/>
  <sheetViews>
    <sheetView zoomScale="115" zoomScaleNormal="115" workbookViewId="0">
      <selection activeCell="A14" sqref="A14:A27"/>
    </sheetView>
  </sheetViews>
  <sheetFormatPr defaultRowHeight="15" x14ac:dyDescent="0.25"/>
  <cols>
    <col min="1" max="1" width="12.28515625" customWidth="1"/>
    <col min="2" max="2" width="17.140625" customWidth="1"/>
    <col min="3" max="3" width="18.28515625" customWidth="1"/>
    <col min="4" max="4" width="10.42578125" customWidth="1"/>
    <col min="5" max="5" width="13.140625" customWidth="1"/>
    <col min="14" max="14" width="18.28515625" customWidth="1"/>
    <col min="15" max="15" width="17.28515625" customWidth="1"/>
  </cols>
  <sheetData>
    <row r="1" spans="1:20" x14ac:dyDescent="0.25">
      <c r="A1" t="s">
        <v>539</v>
      </c>
      <c r="B1" t="s">
        <v>497</v>
      </c>
      <c r="C1" t="s">
        <v>540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N1" s="2"/>
    </row>
    <row r="2" spans="1:20" x14ac:dyDescent="0.25">
      <c r="A2" t="s">
        <v>707</v>
      </c>
      <c r="B2" t="str">
        <f>IF(A2="","",IF(ISNUMBER(SEARCH("GenSta",A2)),"ElmGenstat",IF(ISNUMBER(SEARCH("ES",A2)),"ElmGenstat",IF(ISNUMBER(SEARCH("Ld",A2)),"ElmLod",""))))</f>
        <v>ElmGenstat</v>
      </c>
      <c r="C2" t="str">
        <f>IF(A2="","",IF(ISNUMBER(SEARCH("GenSta",A2)),"pgini",IF(ISNUMBER(SEARCH("ES",A2)),"pgini",IF(ISNUMBER(SEARCH("Ld",A2)),"plini",""))))</f>
        <v>pgini</v>
      </c>
      <c r="D2">
        <f>IF(A2="","",IF(ISNUMBER(SEARCH("GenSta",A2)),0,IF(ISNUMBER(SEARCH("ES",A2)),-50*$L$3,IF(ISNUMBER(SEARCH("Ld",A2)),0.2*E2,""))))</f>
        <v>0</v>
      </c>
      <c r="E2">
        <f>IF(A2="","",IF(ISNUMBER(SEARCH("GenSta",A2)),100*$L$2,IF(ISNUMBER(SEARCH("ES",A2)),50*$L$3,IF(ISNUMBER(SEARCH("Ld",A2)),2*O2*$L$4,""))))</f>
        <v>100</v>
      </c>
      <c r="F2" t="str">
        <f>IF(A2="","",IF(ISNUMBER(SEARCH("GenSta",A2)),"qgini",IF(ISNUMBER(SEARCH("ES",A2)),"qgini",IF(ISNUMBER(SEARCH("Ld",A2)),"qlini",""))))</f>
        <v>qgini</v>
      </c>
      <c r="G2">
        <f>IF(A2="","",IF(ISNUMBER(SEARCH("GenSta",A2)),-E2,IF(ISNUMBER(SEARCH("ES",A2)),D2,IF(ISNUMBER(SEARCH("Ld",A2)),-E2,""))))</f>
        <v>-100</v>
      </c>
      <c r="H2">
        <f>IF(A2="","",IF(ISNUMBER(SEARCH("GenSta",A2)),E2,IF(ISNUMBER(SEARCH("ES",A2)),E2,IF(ISNUMBER(SEARCH("Ld",A2)),E2,""))))</f>
        <v>100</v>
      </c>
      <c r="I2">
        <v>1</v>
      </c>
      <c r="K2" t="s">
        <v>638</v>
      </c>
      <c r="L2">
        <v>1</v>
      </c>
      <c r="N2" s="2">
        <f>IF((_xlfn.XLOOKUP(A2,StatGen!A:A,StatGen!B:B," ")=0),(""),(_xlfn.IFNA(_xlfn.XLOOKUP(A2,StatGen!A:A,StatGen!B:B," "),"")))</f>
        <v>26.8</v>
      </c>
      <c r="O2" s="2" t="str">
        <f>IF((_xlfn.XLOOKUP(A2,Loads!A:A,Loads!B:B," ")=0),(""),(_xlfn.IFNA(_xlfn.XLOOKUP(A2,Loads!A:A,Loads!B:B," "),"")))</f>
        <v xml:space="preserve"> </v>
      </c>
      <c r="P2" s="2"/>
      <c r="S2" t="s">
        <v>195</v>
      </c>
      <c r="T2" t="s">
        <v>546</v>
      </c>
    </row>
    <row r="3" spans="1:20" x14ac:dyDescent="0.25">
      <c r="A3" t="s">
        <v>699</v>
      </c>
      <c r="B3" t="str">
        <f t="shared" ref="B3:B35" si="0">IF(A3="","",IF(ISNUMBER(SEARCH("GenSta",A3)),"ElmGenstat",IF(ISNUMBER(SEARCH("ES",A3)),"ElmGenstat",IF(ISNUMBER(SEARCH("Ld",A3)),"ElmLod",""))))</f>
        <v>ElmGenstat</v>
      </c>
      <c r="C3" t="str">
        <f t="shared" ref="C3:C7" si="1">IF(A3="","",IF(ISNUMBER(SEARCH("GenSta",A3)),"pgini",IF(ISNUMBER(SEARCH("ES",A3)),"pgini",IF(ISNUMBER(SEARCH("Ld",A3)),"plini",""))))</f>
        <v>pgini</v>
      </c>
      <c r="D3">
        <f t="shared" ref="D3:D7" si="2">IF(A3="","",IF(ISNUMBER(SEARCH("GenSta",A3)),0,IF(ISNUMBER(SEARCH("ES",A3)),-50*$L$3,IF(ISNUMBER(SEARCH("Ld",A3)),0.2*E3,""))))</f>
        <v>0</v>
      </c>
      <c r="E3">
        <f t="shared" ref="E3:E7" si="3">IF(A3="","",IF(ISNUMBER(SEARCH("GenSta",A3)),100*$L$2,IF(ISNUMBER(SEARCH("ES",A3)),50*$L$3,IF(ISNUMBER(SEARCH("Ld",A3)),2*O3*$L$4,""))))</f>
        <v>100</v>
      </c>
      <c r="F3" t="str">
        <f t="shared" ref="F3:F7" si="4">IF(A3="","",IF(ISNUMBER(SEARCH("GenSta",A3)),"qgini",IF(ISNUMBER(SEARCH("ES",A3)),"qgini",IF(ISNUMBER(SEARCH("Ld",A3)),"qlini",""))))</f>
        <v>qgini</v>
      </c>
      <c r="G3">
        <f t="shared" ref="G3:G7" si="5">IF(A3="","",IF(ISNUMBER(SEARCH("GenSta",A3)),-E3,IF(ISNUMBER(SEARCH("ES",A3)),D3,IF(ISNUMBER(SEARCH("Ld",A3)),-E3,""))))</f>
        <v>-100</v>
      </c>
      <c r="H3">
        <f t="shared" ref="H3:H7" si="6">IF(A3="","",IF(ISNUMBER(SEARCH("GenSta",A3)),E3,IF(ISNUMBER(SEARCH("ES",A3)),E3,IF(ISNUMBER(SEARCH("Ld",A3)),E3,""))))</f>
        <v>100</v>
      </c>
      <c r="K3" t="s">
        <v>690</v>
      </c>
      <c r="L3">
        <v>1</v>
      </c>
      <c r="N3" s="2">
        <f>IF((_xlfn.XLOOKUP(A3,StatGen!A:A,StatGen!B:B," ")=0),(""),(_xlfn.IFNA(_xlfn.XLOOKUP(A3,StatGen!A:A,StatGen!B:B," "),"")))</f>
        <v>22.9</v>
      </c>
      <c r="O3" s="2" t="str">
        <f>IF((_xlfn.XLOOKUP(A3,Loads!A:A,Loads!B:B," ")=0),(""),(_xlfn.IFNA(_xlfn.XLOOKUP(A3,Loads!A:A,Loads!B:B," "),"")))</f>
        <v xml:space="preserve"> </v>
      </c>
      <c r="P3" s="2"/>
      <c r="S3" t="s">
        <v>196</v>
      </c>
      <c r="T3" t="s">
        <v>546</v>
      </c>
    </row>
    <row r="4" spans="1:20" x14ac:dyDescent="0.25">
      <c r="A4" t="s">
        <v>723</v>
      </c>
      <c r="B4" t="str">
        <f t="shared" si="0"/>
        <v>ElmGenstat</v>
      </c>
      <c r="C4" t="str">
        <f t="shared" si="1"/>
        <v>pgini</v>
      </c>
      <c r="D4">
        <f t="shared" si="2"/>
        <v>0</v>
      </c>
      <c r="E4">
        <f t="shared" si="3"/>
        <v>100</v>
      </c>
      <c r="F4" t="str">
        <f t="shared" si="4"/>
        <v>qgini</v>
      </c>
      <c r="G4">
        <f t="shared" si="5"/>
        <v>-100</v>
      </c>
      <c r="H4">
        <f t="shared" si="6"/>
        <v>100</v>
      </c>
      <c r="K4" t="s">
        <v>729</v>
      </c>
      <c r="L4">
        <v>1</v>
      </c>
      <c r="N4" s="2">
        <f>IF((_xlfn.XLOOKUP(A4,StatGen!A:A,StatGen!B:B," ")=0),(""),(_xlfn.IFNA(_xlfn.XLOOKUP(A4,StatGen!A:A,StatGen!B:B," "),"")))</f>
        <v>1.2</v>
      </c>
      <c r="O4" s="2" t="str">
        <f>IF((_xlfn.XLOOKUP(A4,Loads!A:A,Loads!B:B," ")=0),(""),(_xlfn.IFNA(_xlfn.XLOOKUP(A4,Loads!A:A,Loads!B:B," "),"")))</f>
        <v xml:space="preserve"> </v>
      </c>
      <c r="P4" s="2"/>
      <c r="S4" t="s">
        <v>198</v>
      </c>
      <c r="T4" t="s">
        <v>546</v>
      </c>
    </row>
    <row r="5" spans="1:20" x14ac:dyDescent="0.25">
      <c r="A5" t="s">
        <v>720</v>
      </c>
      <c r="B5" t="str">
        <f t="shared" si="0"/>
        <v>ElmGenstat</v>
      </c>
      <c r="C5" t="str">
        <f t="shared" si="1"/>
        <v>pgini</v>
      </c>
      <c r="D5">
        <f t="shared" si="2"/>
        <v>0</v>
      </c>
      <c r="E5">
        <f t="shared" si="3"/>
        <v>100</v>
      </c>
      <c r="F5" t="str">
        <f t="shared" si="4"/>
        <v>qgini</v>
      </c>
      <c r="G5">
        <f t="shared" si="5"/>
        <v>-100</v>
      </c>
      <c r="H5">
        <f t="shared" si="6"/>
        <v>100</v>
      </c>
      <c r="N5" s="2">
        <f>IF((_xlfn.XLOOKUP(A5,StatGen!A:A,StatGen!B:B," ")=0),(""),(_xlfn.IFNA(_xlfn.XLOOKUP(A5,StatGen!A:A,StatGen!B:B," "),"")))</f>
        <v>77</v>
      </c>
      <c r="O5" s="2" t="str">
        <f>IF((_xlfn.XLOOKUP(A5,Loads!A:A,Loads!B:B," ")=0),(""),(_xlfn.IFNA(_xlfn.XLOOKUP(A5,Loads!A:A,Loads!B:B," "),"")))</f>
        <v xml:space="preserve"> </v>
      </c>
      <c r="P5" s="2"/>
      <c r="S5" t="s">
        <v>199</v>
      </c>
      <c r="T5" t="s">
        <v>546</v>
      </c>
    </row>
    <row r="6" spans="1:20" x14ac:dyDescent="0.25">
      <c r="A6" t="s">
        <v>479</v>
      </c>
      <c r="B6" t="str">
        <f t="shared" si="0"/>
        <v>ElmGenstat</v>
      </c>
      <c r="C6" t="str">
        <f t="shared" si="1"/>
        <v>pgini</v>
      </c>
      <c r="D6">
        <f t="shared" si="2"/>
        <v>-50</v>
      </c>
      <c r="E6">
        <f t="shared" si="3"/>
        <v>50</v>
      </c>
      <c r="F6" t="str">
        <f t="shared" si="4"/>
        <v>qgini</v>
      </c>
      <c r="G6">
        <f t="shared" si="5"/>
        <v>-50</v>
      </c>
      <c r="H6">
        <f t="shared" si="6"/>
        <v>50</v>
      </c>
      <c r="N6" s="2">
        <f>IF((_xlfn.XLOOKUP(A6,StatGen!A:A,StatGen!B:B," ")=0),(""),(_xlfn.IFNA(_xlfn.XLOOKUP(A6,StatGen!A:A,StatGen!B:B," "),"")))</f>
        <v>78.934043739158454</v>
      </c>
      <c r="O6" s="2" t="str">
        <f>IF((_xlfn.XLOOKUP(A6,Loads!A:A,Loads!B:B," ")=0),(""),(_xlfn.IFNA(_xlfn.XLOOKUP(A6,Loads!A:A,Loads!B:B," "),"")))</f>
        <v xml:space="preserve"> </v>
      </c>
      <c r="P6" s="2"/>
      <c r="S6" t="s">
        <v>216</v>
      </c>
      <c r="T6" t="s">
        <v>546</v>
      </c>
    </row>
    <row r="7" spans="1:20" x14ac:dyDescent="0.25">
      <c r="A7" t="s">
        <v>190</v>
      </c>
      <c r="B7" t="str">
        <f t="shared" si="0"/>
        <v>ElmLod</v>
      </c>
      <c r="C7" t="str">
        <f t="shared" si="1"/>
        <v>plini</v>
      </c>
      <c r="D7">
        <f t="shared" si="2"/>
        <v>13.630712964216253</v>
      </c>
      <c r="E7">
        <f t="shared" si="3"/>
        <v>68.153564821081261</v>
      </c>
      <c r="F7" t="str">
        <f t="shared" si="4"/>
        <v>qlini</v>
      </c>
      <c r="G7">
        <f t="shared" si="5"/>
        <v>-68.153564821081261</v>
      </c>
      <c r="H7">
        <f t="shared" si="6"/>
        <v>68.153564821081261</v>
      </c>
      <c r="N7" s="2" t="str">
        <f>IF((_xlfn.XLOOKUP(A7,StatGen!A:A,StatGen!B:B," ")=0),(""),(_xlfn.IFNA(_xlfn.XLOOKUP(A7,StatGen!A:A,StatGen!B:B," "),"")))</f>
        <v xml:space="preserve"> </v>
      </c>
      <c r="O7" s="2">
        <f>IF((_xlfn.XLOOKUP(A7,Loads!A:A,Loads!B:B," ")=0),(""),(_xlfn.IFNA(_xlfn.XLOOKUP(A7,Loads!A:A,Loads!B:B," "),"")))</f>
        <v>34.076782410540631</v>
      </c>
      <c r="P7" s="2"/>
      <c r="S7" t="s">
        <v>225</v>
      </c>
      <c r="T7" t="s">
        <v>546</v>
      </c>
    </row>
    <row r="8" spans="1:20" x14ac:dyDescent="0.25">
      <c r="A8" t="s">
        <v>476</v>
      </c>
      <c r="B8" t="str">
        <f t="shared" si="0"/>
        <v>ElmGenstat</v>
      </c>
      <c r="C8" t="str">
        <f t="shared" ref="C8:C35" si="7">IF(A8="","",IF(ISNUMBER(SEARCH("GenSta",A8)),"pgini",IF(ISNUMBER(SEARCH("ES",A8)),"pgini",IF(ISNUMBER(SEARCH("Ld",A8)),"plini",""))))</f>
        <v>pgini</v>
      </c>
      <c r="D8">
        <f t="shared" ref="D8:D35" si="8">IF(A8="","",IF(ISNUMBER(SEARCH("GenSta",A8)),0,IF(ISNUMBER(SEARCH("ES",A8)),-50*$L$3,IF(ISNUMBER(SEARCH("Ld",A8)),0.2*E8,""))))</f>
        <v>-50</v>
      </c>
      <c r="E8">
        <f t="shared" ref="E8:E35" si="9">IF(A8="","",IF(ISNUMBER(SEARCH("GenSta",A8)),100,IF(ISNUMBER(SEARCH("ES",A8)),50*$L$3,IF(ISNUMBER(SEARCH("Ld",A8)),2*O8,""))))</f>
        <v>50</v>
      </c>
      <c r="F8" t="str">
        <f t="shared" ref="F8:F35" si="10">IF(A8="","",IF(ISNUMBER(SEARCH("GenSta",A8)),"qgini",IF(ISNUMBER(SEARCH("ES",A8)),"qgini",IF(ISNUMBER(SEARCH("Ld",A8)),"qlini",""))))</f>
        <v>qgini</v>
      </c>
      <c r="G8">
        <f t="shared" ref="G8:G35" si="11">IF(A8="","",IF(ISNUMBER(SEARCH("GenSta",A8)),-E8,IF(ISNUMBER(SEARCH("ES",A8)),D8,IF(ISNUMBER(SEARCH("Ld",A8)),-E8,""))))</f>
        <v>-50</v>
      </c>
      <c r="H8">
        <f t="shared" ref="H8:H35" si="12">IF(A8="","",IF(ISNUMBER(SEARCH("GenSta",A8)),E8,IF(ISNUMBER(SEARCH("ES",A8)),E8,IF(ISNUMBER(SEARCH("Ld",A8)),E8,""))))</f>
        <v>50</v>
      </c>
      <c r="N8" s="2">
        <f>IF((_xlfn.XLOOKUP(A8,StatGen!A:A,StatGen!B:B," ")=0),(""),(_xlfn.IFNA(_xlfn.XLOOKUP(A8,StatGen!A:A,StatGen!B:B," "),"")))</f>
        <v>89.443676320085473</v>
      </c>
      <c r="O8" s="2" t="str">
        <f>IF((_xlfn.XLOOKUP(A8,Loads!A:A,Loads!B:B," ")=0),(""),(_xlfn.IFNA(_xlfn.XLOOKUP(A8,Loads!A:A,Loads!B:B," "),"")))</f>
        <v xml:space="preserve"> </v>
      </c>
    </row>
    <row r="9" spans="1:20" x14ac:dyDescent="0.25">
      <c r="A9" t="s">
        <v>716</v>
      </c>
      <c r="B9" t="str">
        <f t="shared" si="0"/>
        <v>ElmGenstat</v>
      </c>
      <c r="C9" t="str">
        <f t="shared" si="7"/>
        <v>pgini</v>
      </c>
      <c r="D9">
        <f t="shared" si="8"/>
        <v>0</v>
      </c>
      <c r="E9">
        <f t="shared" si="9"/>
        <v>100</v>
      </c>
      <c r="F9" t="str">
        <f t="shared" si="10"/>
        <v>qgini</v>
      </c>
      <c r="G9">
        <f t="shared" si="11"/>
        <v>-100</v>
      </c>
      <c r="H9">
        <f t="shared" si="12"/>
        <v>100</v>
      </c>
      <c r="N9" s="2">
        <f>IF((_xlfn.XLOOKUP(A9,StatGen!A:A,StatGen!B:B," ")=0),(""),(_xlfn.IFNA(_xlfn.XLOOKUP(A9,StatGen!A:A,StatGen!B:B," "),"")))</f>
        <v>80</v>
      </c>
      <c r="O9" s="2" t="str">
        <f>IF((_xlfn.XLOOKUP(A9,Loads!A:A,Loads!B:B," ")=0),(""),(_xlfn.IFNA(_xlfn.XLOOKUP(A9,Loads!A:A,Loads!B:B," "),"")))</f>
        <v xml:space="preserve"> </v>
      </c>
    </row>
    <row r="10" spans="1:20" x14ac:dyDescent="0.25">
      <c r="A10" t="s">
        <v>176</v>
      </c>
      <c r="B10" t="str">
        <f t="shared" si="0"/>
        <v>ElmLod</v>
      </c>
      <c r="C10" t="str">
        <f t="shared" si="7"/>
        <v>plini</v>
      </c>
      <c r="D10">
        <f t="shared" si="8"/>
        <v>20.571703094692413</v>
      </c>
      <c r="E10">
        <f t="shared" si="9"/>
        <v>102.85851547346206</v>
      </c>
      <c r="F10" t="str">
        <f t="shared" si="10"/>
        <v>qlini</v>
      </c>
      <c r="G10">
        <f t="shared" si="11"/>
        <v>-102.85851547346206</v>
      </c>
      <c r="H10">
        <f t="shared" si="12"/>
        <v>102.85851547346206</v>
      </c>
      <c r="N10" s="2" t="str">
        <f>IF((_xlfn.XLOOKUP(A10,StatGen!A:A,StatGen!B:B," ")=0),(""),(_xlfn.IFNA(_xlfn.XLOOKUP(A10,StatGen!A:A,StatGen!B:B," "),"")))</f>
        <v xml:space="preserve"> </v>
      </c>
      <c r="O10" s="2">
        <f>IF((_xlfn.XLOOKUP(A10,Loads!A:A,Loads!B:B," ")=0),(""),(_xlfn.IFNA(_xlfn.XLOOKUP(A10,Loads!A:A,Loads!B:B," "),"")))</f>
        <v>51.429257736731032</v>
      </c>
    </row>
    <row r="11" spans="1:20" x14ac:dyDescent="0.25">
      <c r="A11" t="s">
        <v>31</v>
      </c>
      <c r="B11" t="str">
        <f t="shared" si="0"/>
        <v>ElmLod</v>
      </c>
      <c r="C11" t="str">
        <f t="shared" si="7"/>
        <v>plini</v>
      </c>
      <c r="D11">
        <f t="shared" si="8"/>
        <v>18.500360234960752</v>
      </c>
      <c r="E11">
        <f t="shared" si="9"/>
        <v>92.501801174803759</v>
      </c>
      <c r="F11" t="str">
        <f t="shared" si="10"/>
        <v>qlini</v>
      </c>
      <c r="G11">
        <f t="shared" si="11"/>
        <v>-92.501801174803759</v>
      </c>
      <c r="H11">
        <f t="shared" si="12"/>
        <v>92.501801174803759</v>
      </c>
      <c r="N11" s="2" t="str">
        <f>IF((_xlfn.XLOOKUP(A11,StatGen!A:A,StatGen!B:B," ")=0),(""),(_xlfn.IFNA(_xlfn.XLOOKUP(A11,StatGen!A:A,StatGen!B:B," "),"")))</f>
        <v xml:space="preserve"> </v>
      </c>
      <c r="O11" s="2">
        <f>IF((_xlfn.XLOOKUP(A11,Loads!A:A,Loads!B:B," ")=0),(""),(_xlfn.IFNA(_xlfn.XLOOKUP(A11,Loads!A:A,Loads!B:B," "),"")))</f>
        <v>46.25090058740188</v>
      </c>
    </row>
    <row r="12" spans="1:20" x14ac:dyDescent="0.25">
      <c r="A12" t="s">
        <v>717</v>
      </c>
      <c r="B12" t="str">
        <f t="shared" si="0"/>
        <v>ElmGenstat</v>
      </c>
      <c r="C12" t="str">
        <f t="shared" si="7"/>
        <v>pgini</v>
      </c>
      <c r="D12">
        <f t="shared" si="8"/>
        <v>0</v>
      </c>
      <c r="E12">
        <f t="shared" si="9"/>
        <v>100</v>
      </c>
      <c r="F12" t="str">
        <f t="shared" si="10"/>
        <v>qgini</v>
      </c>
      <c r="G12">
        <f t="shared" si="11"/>
        <v>-100</v>
      </c>
      <c r="H12">
        <f t="shared" si="12"/>
        <v>100</v>
      </c>
      <c r="N12" s="2">
        <f>IF((_xlfn.XLOOKUP(A12,StatGen!A:A,StatGen!B:B," ")=0),(""),(_xlfn.IFNA(_xlfn.XLOOKUP(A12,StatGen!A:A,StatGen!B:B," "),"")))</f>
        <v>63.5</v>
      </c>
      <c r="O12" s="2" t="str">
        <f>IF((_xlfn.XLOOKUP(A12,Loads!A:A,Loads!B:B," ")=0),(""),(_xlfn.IFNA(_xlfn.XLOOKUP(A12,Loads!A:A,Loads!B:B," "),"")))</f>
        <v xml:space="preserve"> </v>
      </c>
    </row>
    <row r="13" spans="1:20" x14ac:dyDescent="0.25">
      <c r="A13" t="s">
        <v>701</v>
      </c>
      <c r="B13" t="str">
        <f t="shared" si="0"/>
        <v>ElmGenstat</v>
      </c>
      <c r="C13" t="str">
        <f t="shared" si="7"/>
        <v>pgini</v>
      </c>
      <c r="D13">
        <f t="shared" si="8"/>
        <v>0</v>
      </c>
      <c r="E13">
        <f t="shared" si="9"/>
        <v>100</v>
      </c>
      <c r="F13" t="str">
        <f t="shared" si="10"/>
        <v>qgini</v>
      </c>
      <c r="G13">
        <f t="shared" si="11"/>
        <v>-100</v>
      </c>
      <c r="H13">
        <f t="shared" si="12"/>
        <v>100</v>
      </c>
      <c r="N13" s="2">
        <f>IF((_xlfn.XLOOKUP(A13,StatGen!A:A,StatGen!B:B," ")=0),(""),(_xlfn.IFNA(_xlfn.XLOOKUP(A13,StatGen!A:A,StatGen!B:B," "),"")))</f>
        <v>66.900000000000006</v>
      </c>
      <c r="O13" s="2" t="str">
        <f>IF((_xlfn.XLOOKUP(A13,Loads!A:A,Loads!B:B," ")=0),(""),(_xlfn.IFNA(_xlfn.XLOOKUP(A13,Loads!A:A,Loads!B:B," "),"")))</f>
        <v xml:space="preserve"> </v>
      </c>
    </row>
    <row r="14" spans="1:20" x14ac:dyDescent="0.25">
      <c r="B14" t="str">
        <f t="shared" si="0"/>
        <v/>
      </c>
      <c r="C14" t="str">
        <f t="shared" si="7"/>
        <v/>
      </c>
      <c r="D14" t="str">
        <f t="shared" si="8"/>
        <v/>
      </c>
      <c r="E14" t="str">
        <f t="shared" si="9"/>
        <v/>
      </c>
      <c r="F14" t="str">
        <f t="shared" si="10"/>
        <v/>
      </c>
      <c r="G14" t="str">
        <f t="shared" si="11"/>
        <v/>
      </c>
      <c r="H14" t="str">
        <f t="shared" si="12"/>
        <v/>
      </c>
      <c r="N14" s="2" t="str">
        <f>IF((_xlfn.XLOOKUP(A14,StatGen!A:A,StatGen!B:B," ")=0),(""),(_xlfn.IFNA(_xlfn.XLOOKUP(A14,StatGen!A:A,StatGen!B:B," "),"")))</f>
        <v/>
      </c>
      <c r="O14" s="2" t="str">
        <f>IF((_xlfn.XLOOKUP(A14,Loads!A:A,Loads!B:B," ")=0),(""),(_xlfn.IFNA(_xlfn.XLOOKUP(A14,Loads!A:A,Loads!B:B," "),"")))</f>
        <v/>
      </c>
    </row>
    <row r="15" spans="1:20" x14ac:dyDescent="0.25">
      <c r="B15" t="str">
        <f t="shared" si="0"/>
        <v/>
      </c>
      <c r="C15" t="str">
        <f t="shared" si="7"/>
        <v/>
      </c>
      <c r="D15" t="str">
        <f t="shared" si="8"/>
        <v/>
      </c>
      <c r="E15" t="str">
        <f t="shared" si="9"/>
        <v/>
      </c>
      <c r="F15" t="str">
        <f t="shared" si="10"/>
        <v/>
      </c>
      <c r="G15" t="str">
        <f t="shared" si="11"/>
        <v/>
      </c>
      <c r="H15" t="str">
        <f t="shared" si="12"/>
        <v/>
      </c>
      <c r="N15" s="2" t="str">
        <f>IF((_xlfn.XLOOKUP(A15,StatGen!A:A,StatGen!B:B," ")=0),(""),(_xlfn.IFNA(_xlfn.XLOOKUP(A15,StatGen!A:A,StatGen!B:B," "),"")))</f>
        <v/>
      </c>
      <c r="O15" s="2" t="str">
        <f>IF((_xlfn.XLOOKUP(A15,Loads!A:A,Loads!B:B," ")=0),(""),(_xlfn.IFNA(_xlfn.XLOOKUP(A15,Loads!A:A,Loads!B:B," "),"")))</f>
        <v/>
      </c>
    </row>
    <row r="16" spans="1:20" x14ac:dyDescent="0.25">
      <c r="B16" t="str">
        <f t="shared" si="0"/>
        <v/>
      </c>
      <c r="C16" t="str">
        <f t="shared" si="7"/>
        <v/>
      </c>
      <c r="D16" t="str">
        <f t="shared" si="8"/>
        <v/>
      </c>
      <c r="E16" t="str">
        <f t="shared" si="9"/>
        <v/>
      </c>
      <c r="F16" t="str">
        <f t="shared" si="10"/>
        <v/>
      </c>
      <c r="G16" t="str">
        <f t="shared" si="11"/>
        <v/>
      </c>
      <c r="H16" t="str">
        <f t="shared" si="12"/>
        <v/>
      </c>
      <c r="N16" s="2" t="str">
        <f>IF((_xlfn.XLOOKUP(A16,StatGen!A:A,StatGen!B:B," ")=0),(""),(_xlfn.IFNA(_xlfn.XLOOKUP(A16,StatGen!A:A,StatGen!B:B," "),"")))</f>
        <v/>
      </c>
      <c r="O16" s="2" t="str">
        <f>IF((_xlfn.XLOOKUP(A16,Loads!A:A,Loads!B:B," ")=0),(""),(_xlfn.IFNA(_xlfn.XLOOKUP(A16,Loads!A:A,Loads!B:B," "),"")))</f>
        <v/>
      </c>
    </row>
    <row r="17" spans="2:15" x14ac:dyDescent="0.25">
      <c r="B17" t="str">
        <f t="shared" si="0"/>
        <v/>
      </c>
      <c r="C17" t="str">
        <f t="shared" si="7"/>
        <v/>
      </c>
      <c r="D17" t="str">
        <f t="shared" si="8"/>
        <v/>
      </c>
      <c r="E17" t="str">
        <f t="shared" si="9"/>
        <v/>
      </c>
      <c r="F17" t="str">
        <f t="shared" si="10"/>
        <v/>
      </c>
      <c r="G17" t="str">
        <f t="shared" si="11"/>
        <v/>
      </c>
      <c r="H17" t="str">
        <f t="shared" si="12"/>
        <v/>
      </c>
      <c r="N17" s="2" t="str">
        <f>IF((_xlfn.XLOOKUP(A17,StatGen!A:A,StatGen!B:B," ")=0),(""),(_xlfn.IFNA(_xlfn.XLOOKUP(A17,StatGen!A:A,StatGen!B:B," "),"")))</f>
        <v/>
      </c>
      <c r="O17" s="2" t="str">
        <f>IF((_xlfn.XLOOKUP(A17,Loads!A:A,Loads!B:B," ")=0),(""),(_xlfn.IFNA(_xlfn.XLOOKUP(A17,Loads!A:A,Loads!B:B," "),"")))</f>
        <v/>
      </c>
    </row>
    <row r="18" spans="2:15" x14ac:dyDescent="0.25">
      <c r="B18" t="str">
        <f t="shared" si="0"/>
        <v/>
      </c>
      <c r="C18" t="str">
        <f t="shared" si="7"/>
        <v/>
      </c>
      <c r="D18" t="str">
        <f t="shared" si="8"/>
        <v/>
      </c>
      <c r="E18" t="str">
        <f t="shared" si="9"/>
        <v/>
      </c>
      <c r="F18" t="str">
        <f t="shared" si="10"/>
        <v/>
      </c>
      <c r="G18" t="str">
        <f t="shared" si="11"/>
        <v/>
      </c>
      <c r="H18" t="str">
        <f t="shared" si="12"/>
        <v/>
      </c>
      <c r="N18" s="2" t="str">
        <f>IF((_xlfn.XLOOKUP(A18,StatGen!A:A,StatGen!B:B," ")=0),(""),(_xlfn.IFNA(_xlfn.XLOOKUP(A18,StatGen!A:A,StatGen!B:B," "),"")))</f>
        <v/>
      </c>
      <c r="O18" s="2" t="str">
        <f>IF((_xlfn.XLOOKUP(A18,Loads!A:A,Loads!B:B," ")=0),(""),(_xlfn.IFNA(_xlfn.XLOOKUP(A18,Loads!A:A,Loads!B:B," "),"")))</f>
        <v/>
      </c>
    </row>
    <row r="19" spans="2:15" x14ac:dyDescent="0.25">
      <c r="B19" t="str">
        <f t="shared" si="0"/>
        <v/>
      </c>
      <c r="C19" t="str">
        <f t="shared" si="7"/>
        <v/>
      </c>
      <c r="D19" t="str">
        <f t="shared" si="8"/>
        <v/>
      </c>
      <c r="E19" t="str">
        <f t="shared" si="9"/>
        <v/>
      </c>
      <c r="F19" t="str">
        <f t="shared" si="10"/>
        <v/>
      </c>
      <c r="G19" t="str">
        <f t="shared" si="11"/>
        <v/>
      </c>
      <c r="H19" t="str">
        <f t="shared" si="12"/>
        <v/>
      </c>
      <c r="N19" s="2" t="str">
        <f>IF((_xlfn.XLOOKUP(A19,StatGen!A:A,StatGen!B:B," ")=0),(""),(_xlfn.IFNA(_xlfn.XLOOKUP(A19,StatGen!A:A,StatGen!B:B," "),"")))</f>
        <v/>
      </c>
      <c r="O19" s="2" t="str">
        <f>IF((_xlfn.XLOOKUP(A19,Loads!A:A,Loads!B:B," ")=0),(""),(_xlfn.IFNA(_xlfn.XLOOKUP(A19,Loads!A:A,Loads!B:B," "),"")))</f>
        <v/>
      </c>
    </row>
    <row r="20" spans="2:15" x14ac:dyDescent="0.25">
      <c r="B20" t="str">
        <f t="shared" si="0"/>
        <v/>
      </c>
      <c r="C20" t="str">
        <f t="shared" si="7"/>
        <v/>
      </c>
      <c r="D20" t="str">
        <f t="shared" si="8"/>
        <v/>
      </c>
      <c r="E20" t="str">
        <f t="shared" si="9"/>
        <v/>
      </c>
      <c r="F20" t="str">
        <f t="shared" si="10"/>
        <v/>
      </c>
      <c r="G20" t="str">
        <f t="shared" si="11"/>
        <v/>
      </c>
      <c r="H20" t="str">
        <f t="shared" si="12"/>
        <v/>
      </c>
      <c r="N20" s="2" t="str">
        <f>IF((_xlfn.XLOOKUP(A20,StatGen!A:A,StatGen!B:B," ")=0),(""),(_xlfn.IFNA(_xlfn.XLOOKUP(A20,StatGen!A:A,StatGen!B:B," "),"")))</f>
        <v/>
      </c>
      <c r="O20" s="2" t="str">
        <f>IF((_xlfn.XLOOKUP(A20,Loads!A:A,Loads!B:B," ")=0),(""),(_xlfn.IFNA(_xlfn.XLOOKUP(A20,Loads!A:A,Loads!B:B," "),"")))</f>
        <v/>
      </c>
    </row>
    <row r="21" spans="2:15" x14ac:dyDescent="0.25">
      <c r="B21" t="str">
        <f t="shared" si="0"/>
        <v/>
      </c>
      <c r="C21" t="str">
        <f t="shared" si="7"/>
        <v/>
      </c>
      <c r="D21" t="str">
        <f t="shared" si="8"/>
        <v/>
      </c>
      <c r="E21" t="str">
        <f t="shared" si="9"/>
        <v/>
      </c>
      <c r="F21" t="str">
        <f t="shared" si="10"/>
        <v/>
      </c>
      <c r="G21" t="str">
        <f t="shared" si="11"/>
        <v/>
      </c>
      <c r="H21" t="str">
        <f t="shared" si="12"/>
        <v/>
      </c>
      <c r="N21" s="2" t="str">
        <f>IF((_xlfn.XLOOKUP(A21,StatGen!A:A,StatGen!B:B," ")=0),(""),(_xlfn.IFNA(_xlfn.XLOOKUP(A21,StatGen!A:A,StatGen!B:B," "),"")))</f>
        <v/>
      </c>
      <c r="O21" s="2" t="str">
        <f>IF((_xlfn.XLOOKUP(A21,Loads!A:A,Loads!B:B," ")=0),(""),(_xlfn.IFNA(_xlfn.XLOOKUP(A21,Loads!A:A,Loads!B:B," "),"")))</f>
        <v/>
      </c>
    </row>
    <row r="22" spans="2:15" x14ac:dyDescent="0.25">
      <c r="B22" t="str">
        <f t="shared" si="0"/>
        <v/>
      </c>
      <c r="C22" t="str">
        <f t="shared" si="7"/>
        <v/>
      </c>
      <c r="D22" t="str">
        <f t="shared" si="8"/>
        <v/>
      </c>
      <c r="E22" t="str">
        <f t="shared" si="9"/>
        <v/>
      </c>
      <c r="F22" t="str">
        <f t="shared" si="10"/>
        <v/>
      </c>
      <c r="G22" t="str">
        <f t="shared" si="11"/>
        <v/>
      </c>
      <c r="H22" t="str">
        <f t="shared" si="12"/>
        <v/>
      </c>
      <c r="N22" s="2" t="str">
        <f>IF((_xlfn.XLOOKUP(A22,StatGen!A:A,StatGen!B:B," ")=0),(""),(_xlfn.IFNA(_xlfn.XLOOKUP(A22,StatGen!A:A,StatGen!B:B," "),"")))</f>
        <v/>
      </c>
      <c r="O22" s="2" t="str">
        <f>IF((_xlfn.XLOOKUP(A22,Loads!A:A,Loads!B:B," ")=0),(""),(_xlfn.IFNA(_xlfn.XLOOKUP(A22,Loads!A:A,Loads!B:B," "),"")))</f>
        <v/>
      </c>
    </row>
    <row r="23" spans="2:15" x14ac:dyDescent="0.25">
      <c r="B23" t="str">
        <f t="shared" si="0"/>
        <v/>
      </c>
      <c r="C23" t="str">
        <f t="shared" si="7"/>
        <v/>
      </c>
      <c r="D23" t="str">
        <f t="shared" si="8"/>
        <v/>
      </c>
      <c r="E23" t="str">
        <f t="shared" si="9"/>
        <v/>
      </c>
      <c r="F23" t="str">
        <f t="shared" si="10"/>
        <v/>
      </c>
      <c r="G23" t="str">
        <f t="shared" si="11"/>
        <v/>
      </c>
      <c r="H23" t="str">
        <f t="shared" si="12"/>
        <v/>
      </c>
      <c r="N23" s="2" t="str">
        <f>IF((_xlfn.XLOOKUP(A23,StatGen!A:A,StatGen!B:B," ")=0),(""),(_xlfn.IFNA(_xlfn.XLOOKUP(A23,StatGen!A:A,StatGen!B:B," "),"")))</f>
        <v/>
      </c>
      <c r="O23" s="2" t="str">
        <f>IF((_xlfn.XLOOKUP(A23,Loads!A:A,Loads!B:B," ")=0),(""),(_xlfn.IFNA(_xlfn.XLOOKUP(A23,Loads!A:A,Loads!B:B," "),"")))</f>
        <v/>
      </c>
    </row>
    <row r="24" spans="2:15" x14ac:dyDescent="0.25">
      <c r="B24" t="str">
        <f t="shared" si="0"/>
        <v/>
      </c>
      <c r="C24" t="str">
        <f t="shared" si="7"/>
        <v/>
      </c>
      <c r="D24" t="str">
        <f t="shared" si="8"/>
        <v/>
      </c>
      <c r="E24" t="str">
        <f t="shared" si="9"/>
        <v/>
      </c>
      <c r="F24" t="str">
        <f t="shared" si="10"/>
        <v/>
      </c>
      <c r="G24" t="str">
        <f t="shared" si="11"/>
        <v/>
      </c>
      <c r="H24" t="str">
        <f t="shared" si="12"/>
        <v/>
      </c>
      <c r="N24" s="2" t="str">
        <f>IF((_xlfn.XLOOKUP(A24,StatGen!A:A,StatGen!B:B," ")=0),(""),(_xlfn.IFNA(_xlfn.XLOOKUP(A24,StatGen!A:A,StatGen!B:B," "),"")))</f>
        <v/>
      </c>
      <c r="O24" s="2" t="str">
        <f>IF((_xlfn.XLOOKUP(A24,Loads!A:A,Loads!B:B," ")=0),(""),(_xlfn.IFNA(_xlfn.XLOOKUP(A24,Loads!A:A,Loads!B:B," "),"")))</f>
        <v/>
      </c>
    </row>
    <row r="25" spans="2:15" x14ac:dyDescent="0.25">
      <c r="B25" t="str">
        <f t="shared" si="0"/>
        <v/>
      </c>
      <c r="C25" t="str">
        <f t="shared" si="7"/>
        <v/>
      </c>
      <c r="D25" t="str">
        <f t="shared" si="8"/>
        <v/>
      </c>
      <c r="E25" t="str">
        <f t="shared" si="9"/>
        <v/>
      </c>
      <c r="F25" t="str">
        <f t="shared" si="10"/>
        <v/>
      </c>
      <c r="G25" t="str">
        <f t="shared" si="11"/>
        <v/>
      </c>
      <c r="H25" t="str">
        <f t="shared" si="12"/>
        <v/>
      </c>
      <c r="N25" s="2" t="str">
        <f>IF((_xlfn.XLOOKUP(A25,StatGen!A:A,StatGen!B:B," ")=0),(""),(_xlfn.IFNA(_xlfn.XLOOKUP(A25,StatGen!A:A,StatGen!B:B," "),"")))</f>
        <v/>
      </c>
      <c r="O25" s="2" t="str">
        <f>IF((_xlfn.XLOOKUP(A25,Loads!A:A,Loads!B:B," ")=0),(""),(_xlfn.IFNA(_xlfn.XLOOKUP(A25,Loads!A:A,Loads!B:B," "),"")))</f>
        <v/>
      </c>
    </row>
    <row r="26" spans="2:15" x14ac:dyDescent="0.25">
      <c r="B26" t="str">
        <f t="shared" si="0"/>
        <v/>
      </c>
      <c r="C26" t="str">
        <f t="shared" si="7"/>
        <v/>
      </c>
      <c r="D26" t="str">
        <f t="shared" si="8"/>
        <v/>
      </c>
      <c r="E26" t="str">
        <f t="shared" si="9"/>
        <v/>
      </c>
      <c r="F26" t="str">
        <f t="shared" si="10"/>
        <v/>
      </c>
      <c r="G26" t="str">
        <f t="shared" si="11"/>
        <v/>
      </c>
      <c r="H26" t="str">
        <f t="shared" si="12"/>
        <v/>
      </c>
      <c r="N26" s="2" t="str">
        <f>IF((_xlfn.XLOOKUP(A26,StatGen!A:A,StatGen!B:B," ")=0),(""),(_xlfn.IFNA(_xlfn.XLOOKUP(A26,StatGen!A:A,StatGen!B:B," "),"")))</f>
        <v/>
      </c>
      <c r="O26" s="2" t="str">
        <f>IF((_xlfn.XLOOKUP(A26,Loads!A:A,Loads!B:B," ")=0),(""),(_xlfn.IFNA(_xlfn.XLOOKUP(A26,Loads!A:A,Loads!B:B," "),"")))</f>
        <v/>
      </c>
    </row>
    <row r="27" spans="2:15" x14ac:dyDescent="0.25">
      <c r="B27" t="str">
        <f t="shared" si="0"/>
        <v/>
      </c>
      <c r="C27" t="str">
        <f t="shared" si="7"/>
        <v/>
      </c>
      <c r="D27" t="str">
        <f t="shared" si="8"/>
        <v/>
      </c>
      <c r="E27" t="str">
        <f t="shared" si="9"/>
        <v/>
      </c>
      <c r="F27" t="str">
        <f t="shared" si="10"/>
        <v/>
      </c>
      <c r="G27" t="str">
        <f t="shared" si="11"/>
        <v/>
      </c>
      <c r="H27" t="str">
        <f t="shared" si="12"/>
        <v/>
      </c>
      <c r="N27" s="2" t="str">
        <f>IF((_xlfn.XLOOKUP(A27,StatGen!A:A,StatGen!B:B," ")=0),(""),(_xlfn.IFNA(_xlfn.XLOOKUP(A27,StatGen!A:A,StatGen!B:B," "),"")))</f>
        <v/>
      </c>
      <c r="O27" s="2" t="str">
        <f>IF((_xlfn.XLOOKUP(A27,Loads!A:A,Loads!B:B," ")=0),(""),(_xlfn.IFNA(_xlfn.XLOOKUP(A27,Loads!A:A,Loads!B:B," "),"")))</f>
        <v/>
      </c>
    </row>
    <row r="28" spans="2:15" x14ac:dyDescent="0.25">
      <c r="B28" t="str">
        <f t="shared" si="0"/>
        <v/>
      </c>
      <c r="C28" t="str">
        <f t="shared" si="7"/>
        <v/>
      </c>
      <c r="D28" t="str">
        <f t="shared" si="8"/>
        <v/>
      </c>
      <c r="E28" t="str">
        <f t="shared" si="9"/>
        <v/>
      </c>
      <c r="F28" t="str">
        <f t="shared" si="10"/>
        <v/>
      </c>
      <c r="G28" t="str">
        <f t="shared" si="11"/>
        <v/>
      </c>
      <c r="H28" t="str">
        <f t="shared" si="12"/>
        <v/>
      </c>
      <c r="N28" s="2" t="str">
        <f>IF((_xlfn.XLOOKUP(A28,StatGen!A:A,StatGen!B:B," ")=0),(""),(_xlfn.IFNA(_xlfn.XLOOKUP(A28,StatGen!A:A,StatGen!B:B," "),"")))</f>
        <v/>
      </c>
      <c r="O28" s="2" t="str">
        <f>IF((_xlfn.XLOOKUP(A28,Loads!A:A,Loads!B:B," ")=0),(""),(_xlfn.IFNA(_xlfn.XLOOKUP(A28,Loads!A:A,Loads!B:B," "),"")))</f>
        <v/>
      </c>
    </row>
    <row r="29" spans="2:15" x14ac:dyDescent="0.25">
      <c r="B29" t="str">
        <f t="shared" si="0"/>
        <v/>
      </c>
      <c r="C29" t="str">
        <f t="shared" si="7"/>
        <v/>
      </c>
      <c r="D29" t="str">
        <f t="shared" si="8"/>
        <v/>
      </c>
      <c r="E29" t="str">
        <f t="shared" si="9"/>
        <v/>
      </c>
      <c r="F29" t="str">
        <f t="shared" si="10"/>
        <v/>
      </c>
      <c r="G29" t="str">
        <f t="shared" si="11"/>
        <v/>
      </c>
      <c r="H29" t="str">
        <f t="shared" si="12"/>
        <v/>
      </c>
      <c r="N29" s="2" t="str">
        <f>IF((_xlfn.XLOOKUP(A29,StatGen!A:A,StatGen!B:B," ")=0),(""),(_xlfn.IFNA(_xlfn.XLOOKUP(A29,StatGen!A:A,StatGen!B:B," "),"")))</f>
        <v/>
      </c>
      <c r="O29" s="2" t="str">
        <f>IF((_xlfn.XLOOKUP(A29,Loads!A:A,Loads!B:B," ")=0),(""),(_xlfn.IFNA(_xlfn.XLOOKUP(A29,Loads!A:A,Loads!B:B," "),"")))</f>
        <v/>
      </c>
    </row>
    <row r="30" spans="2:15" x14ac:dyDescent="0.25">
      <c r="B30" t="str">
        <f t="shared" si="0"/>
        <v/>
      </c>
      <c r="C30" t="str">
        <f t="shared" si="7"/>
        <v/>
      </c>
      <c r="D30" t="str">
        <f t="shared" si="8"/>
        <v/>
      </c>
      <c r="E30" t="str">
        <f t="shared" si="9"/>
        <v/>
      </c>
      <c r="F30" t="str">
        <f t="shared" si="10"/>
        <v/>
      </c>
      <c r="G30" t="str">
        <f t="shared" si="11"/>
        <v/>
      </c>
      <c r="H30" t="str">
        <f t="shared" si="12"/>
        <v/>
      </c>
      <c r="N30" s="2" t="str">
        <f>IF((_xlfn.XLOOKUP(A30,StatGen!A:A,StatGen!B:B," ")=0),(""),(_xlfn.IFNA(_xlfn.XLOOKUP(A30,StatGen!A:A,StatGen!B:B," "),"")))</f>
        <v/>
      </c>
      <c r="O30" s="2" t="str">
        <f>IF((_xlfn.XLOOKUP(A30,Loads!A:A,Loads!B:B," ")=0),(""),(_xlfn.IFNA(_xlfn.XLOOKUP(A30,Loads!A:A,Loads!B:B," "),"")))</f>
        <v/>
      </c>
    </row>
    <row r="31" spans="2:15" x14ac:dyDescent="0.25">
      <c r="B31" t="str">
        <f t="shared" si="0"/>
        <v/>
      </c>
      <c r="C31" t="str">
        <f t="shared" si="7"/>
        <v/>
      </c>
      <c r="D31" t="str">
        <f t="shared" si="8"/>
        <v/>
      </c>
      <c r="E31" t="str">
        <f t="shared" si="9"/>
        <v/>
      </c>
      <c r="F31" t="str">
        <f t="shared" si="10"/>
        <v/>
      </c>
      <c r="G31" t="str">
        <f t="shared" si="11"/>
        <v/>
      </c>
      <c r="H31" t="str">
        <f t="shared" si="12"/>
        <v/>
      </c>
      <c r="N31" s="2" t="str">
        <f>IF((_xlfn.XLOOKUP(A31,StatGen!A:A,StatGen!B:B," ")=0),(""),(_xlfn.IFNA(_xlfn.XLOOKUP(A31,StatGen!A:A,StatGen!B:B," "),"")))</f>
        <v/>
      </c>
      <c r="O31" s="2" t="str">
        <f>IF((_xlfn.XLOOKUP(A31,Loads!A:A,Loads!B:B," ")=0),(""),(_xlfn.IFNA(_xlfn.XLOOKUP(A31,Loads!A:A,Loads!B:B," "),"")))</f>
        <v/>
      </c>
    </row>
    <row r="32" spans="2:15" x14ac:dyDescent="0.25">
      <c r="B32" t="str">
        <f t="shared" si="0"/>
        <v/>
      </c>
      <c r="C32" t="str">
        <f t="shared" si="7"/>
        <v/>
      </c>
      <c r="D32" t="str">
        <f t="shared" si="8"/>
        <v/>
      </c>
      <c r="E32" t="str">
        <f t="shared" si="9"/>
        <v/>
      </c>
      <c r="F32" t="str">
        <f t="shared" si="10"/>
        <v/>
      </c>
      <c r="G32" t="str">
        <f t="shared" si="11"/>
        <v/>
      </c>
      <c r="H32" t="str">
        <f t="shared" si="12"/>
        <v/>
      </c>
      <c r="N32" s="2" t="str">
        <f>IF((_xlfn.XLOOKUP(A32,StatGen!A:A,StatGen!B:B," ")=0),(""),(_xlfn.IFNA(_xlfn.XLOOKUP(A32,StatGen!A:A,StatGen!B:B," "),"")))</f>
        <v/>
      </c>
      <c r="O32" s="2" t="str">
        <f>IF((_xlfn.XLOOKUP(A32,Loads!A:A,Loads!B:B," ")=0),(""),(_xlfn.IFNA(_xlfn.XLOOKUP(A32,Loads!A:A,Loads!B:B," "),"")))</f>
        <v/>
      </c>
    </row>
    <row r="33" spans="2:15" x14ac:dyDescent="0.25">
      <c r="B33" t="str">
        <f t="shared" si="0"/>
        <v/>
      </c>
      <c r="C33" t="str">
        <f t="shared" si="7"/>
        <v/>
      </c>
      <c r="D33" t="str">
        <f t="shared" si="8"/>
        <v/>
      </c>
      <c r="E33" t="str">
        <f t="shared" si="9"/>
        <v/>
      </c>
      <c r="F33" t="str">
        <f t="shared" si="10"/>
        <v/>
      </c>
      <c r="G33" t="str">
        <f t="shared" si="11"/>
        <v/>
      </c>
      <c r="H33" t="str">
        <f t="shared" si="12"/>
        <v/>
      </c>
      <c r="N33" s="2" t="str">
        <f>IF((_xlfn.XLOOKUP(A33,StatGen!A:A,StatGen!B:B," ")=0),(""),(_xlfn.IFNA(_xlfn.XLOOKUP(A33,StatGen!A:A,StatGen!B:B," "),"")))</f>
        <v/>
      </c>
      <c r="O33" s="2" t="str">
        <f>IF((_xlfn.XLOOKUP(A33,Loads!A:A,Loads!B:B," ")=0),(""),(_xlfn.IFNA(_xlfn.XLOOKUP(A33,Loads!A:A,Loads!B:B," "),"")))</f>
        <v/>
      </c>
    </row>
    <row r="34" spans="2:15" x14ac:dyDescent="0.25">
      <c r="B34" t="str">
        <f t="shared" si="0"/>
        <v/>
      </c>
      <c r="C34" t="str">
        <f t="shared" si="7"/>
        <v/>
      </c>
      <c r="D34" t="str">
        <f t="shared" si="8"/>
        <v/>
      </c>
      <c r="E34" t="str">
        <f t="shared" si="9"/>
        <v/>
      </c>
      <c r="F34" t="str">
        <f t="shared" si="10"/>
        <v/>
      </c>
      <c r="G34" t="str">
        <f t="shared" si="11"/>
        <v/>
      </c>
      <c r="H34" t="str">
        <f t="shared" si="12"/>
        <v/>
      </c>
      <c r="N34" s="2" t="str">
        <f>IF((_xlfn.XLOOKUP(A34,StatGen!A:A,StatGen!B:B," ")=0),(""),(_xlfn.IFNA(_xlfn.XLOOKUP(A34,StatGen!A:A,StatGen!B:B," "),"")))</f>
        <v/>
      </c>
      <c r="O34" s="2" t="str">
        <f>IF((_xlfn.XLOOKUP(A34,Loads!A:A,Loads!B:B," ")=0),(""),(_xlfn.IFNA(_xlfn.XLOOKUP(A34,Loads!A:A,Loads!B:B," "),"")))</f>
        <v/>
      </c>
    </row>
    <row r="35" spans="2:15" x14ac:dyDescent="0.25">
      <c r="B35" t="str">
        <f t="shared" si="0"/>
        <v/>
      </c>
      <c r="C35" t="str">
        <f t="shared" si="7"/>
        <v/>
      </c>
      <c r="D35" t="str">
        <f t="shared" si="8"/>
        <v/>
      </c>
      <c r="E35" t="str">
        <f t="shared" si="9"/>
        <v/>
      </c>
      <c r="F35" t="str">
        <f t="shared" si="10"/>
        <v/>
      </c>
      <c r="G35" t="str">
        <f t="shared" si="11"/>
        <v/>
      </c>
      <c r="H35" t="str">
        <f t="shared" si="12"/>
        <v/>
      </c>
      <c r="N35" s="2" t="str">
        <f>IF((_xlfn.XLOOKUP(A35,StatGen!A:A,StatGen!B:B," ")=0),(""),(_xlfn.IFNA(_xlfn.XLOOKUP(A35,StatGen!A:A,StatGen!B:B," "),"")))</f>
        <v/>
      </c>
      <c r="O35" s="2" t="str">
        <f>IF((_xlfn.XLOOKUP(A35,Loads!A:A,Loads!B:B," ")=0),(""),(_xlfn.IFNA(_xlfn.XLOOKUP(A35,Loads!A:A,Loads!B:B," "),"")))</f>
        <v/>
      </c>
    </row>
    <row r="36" spans="2:15" x14ac:dyDescent="0.25">
      <c r="B36" t="str">
        <f t="shared" ref="B36:B37" si="13">IF(A36="","",IF(ISNUMBER(SEARCH("GenSta",A36)),"ElmGenstat",IF(ISNUMBER(SEARCH("ES",A36)),"ElmGenstat",IF(ISNUMBER(SEARCH("Ld",A36)),"ElmLod",""))))</f>
        <v/>
      </c>
      <c r="C36" t="str">
        <f t="shared" ref="C36:C37" si="14">IF(A36="","",IF(ISNUMBER(SEARCH("GenSta",A36)),"pgini",IF(ISNUMBER(SEARCH("ES",A36)),"pgini",IF(ISNUMBER(SEARCH("Ld",A36)),"plini",""))))</f>
        <v/>
      </c>
      <c r="D36" t="str">
        <f t="shared" ref="D36:D37" si="15">IF(A36="","",IF(ISNUMBER(SEARCH("GenSta",A36)),0,IF(ISNUMBER(SEARCH("ES",A36)),-50*$L$3,IF(ISNUMBER(SEARCH("Ld",A36)),0.2*E36,""))))</f>
        <v/>
      </c>
      <c r="E36" t="str">
        <f t="shared" ref="E36:E37" si="16">IF(A36="","",IF(ISNUMBER(SEARCH("GenSta",A36)),100,IF(ISNUMBER(SEARCH("ES",A36)),50*$L$3,IF(ISNUMBER(SEARCH("Ld",A36)),2*O36,""))))</f>
        <v/>
      </c>
      <c r="F36" t="str">
        <f t="shared" ref="F36:F37" si="17">IF(A36="","",IF(ISNUMBER(SEARCH("GenSta",A36)),"qgini",IF(ISNUMBER(SEARCH("ES",A36)),"qgini",IF(ISNUMBER(SEARCH("Ld",A36)),"qlini",""))))</f>
        <v/>
      </c>
      <c r="G36" t="str">
        <f t="shared" ref="G36:G37" si="18">IF(A36="","",IF(ISNUMBER(SEARCH("GenSta",A36)),-E36,IF(ISNUMBER(SEARCH("ES",A36)),D36,IF(ISNUMBER(SEARCH("Ld",A36)),-E36,""))))</f>
        <v/>
      </c>
      <c r="H36" t="str">
        <f t="shared" ref="H36:H37" si="19">IF(A36="","",IF(ISNUMBER(SEARCH("GenSta",A36)),E36,IF(ISNUMBER(SEARCH("ES",A36)),E36,IF(ISNUMBER(SEARCH("Ld",A36)),E36,""))))</f>
        <v/>
      </c>
      <c r="N36" s="2" t="str">
        <f>IF((_xlfn.XLOOKUP(A36,StatGen!A:A,StatGen!B:B," ")=0),(""),(_xlfn.IFNA(_xlfn.XLOOKUP(A36,StatGen!A:A,StatGen!B:B," "),"")))</f>
        <v/>
      </c>
      <c r="O36" s="2" t="str">
        <f>IF((_xlfn.XLOOKUP(A36,Loads!A:A,Loads!B:B," ")=0),(""),(_xlfn.IFNA(_xlfn.XLOOKUP(A36,Loads!A:A,Loads!B:B," "),"")))</f>
        <v/>
      </c>
    </row>
    <row r="37" spans="2:15" x14ac:dyDescent="0.25">
      <c r="B37" t="str">
        <f t="shared" si="13"/>
        <v/>
      </c>
      <c r="C37" t="str">
        <f t="shared" si="14"/>
        <v/>
      </c>
      <c r="D37" t="str">
        <f t="shared" si="15"/>
        <v/>
      </c>
      <c r="E37" t="str">
        <f t="shared" si="16"/>
        <v/>
      </c>
      <c r="F37" t="str">
        <f t="shared" si="17"/>
        <v/>
      </c>
      <c r="G37" t="str">
        <f t="shared" si="18"/>
        <v/>
      </c>
      <c r="H37" t="str">
        <f t="shared" si="19"/>
        <v/>
      </c>
      <c r="N37" s="2" t="str">
        <f>IF((_xlfn.XLOOKUP(A37,StatGen!A:A,StatGen!B:B," ")=0),(""),(_xlfn.IFNA(_xlfn.XLOOKUP(A37,StatGen!A:A,StatGen!B:B," "),"")))</f>
        <v/>
      </c>
      <c r="O37" s="2" t="str">
        <f>IF((_xlfn.XLOOKUP(A37,Loads!A:A,Loads!B:B," ")=0),(""),(_xlfn.IFNA(_xlfn.XLOOKUP(A37,Loads!A:A,Loads!B:B," "),"")))</f>
        <v/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99BE-1271-49E1-8F37-78226E1C1660}">
  <sheetPr codeName="Arkusz8"/>
  <dimension ref="A1:U530"/>
  <sheetViews>
    <sheetView workbookViewId="0">
      <selection activeCell="B1" sqref="B1:B530"/>
    </sheetView>
  </sheetViews>
  <sheetFormatPr defaultRowHeight="15" x14ac:dyDescent="0.25"/>
  <sheetData>
    <row r="1" spans="1:21" x14ac:dyDescent="0.25">
      <c r="A1" t="s">
        <v>194</v>
      </c>
      <c r="B1">
        <v>6.7</v>
      </c>
      <c r="J1" t="s">
        <v>195</v>
      </c>
      <c r="K1" t="s">
        <v>641</v>
      </c>
      <c r="L1" t="s">
        <v>642</v>
      </c>
      <c r="S1" t="s">
        <v>195</v>
      </c>
      <c r="T1">
        <v>43.6</v>
      </c>
      <c r="U1">
        <v>151.69999999999999</v>
      </c>
    </row>
    <row r="2" spans="1:21" x14ac:dyDescent="0.25">
      <c r="A2" t="s">
        <v>3</v>
      </c>
      <c r="B2">
        <v>7.5</v>
      </c>
      <c r="J2" t="s">
        <v>196</v>
      </c>
      <c r="K2" t="s">
        <v>643</v>
      </c>
      <c r="L2" t="s">
        <v>577</v>
      </c>
      <c r="S2" t="s">
        <v>196</v>
      </c>
      <c r="T2">
        <v>30.5</v>
      </c>
      <c r="U2">
        <v>-1.2</v>
      </c>
    </row>
    <row r="3" spans="1:21" x14ac:dyDescent="0.25">
      <c r="A3" t="s">
        <v>4</v>
      </c>
      <c r="B3">
        <v>12.4</v>
      </c>
      <c r="J3" t="s">
        <v>198</v>
      </c>
      <c r="K3" t="s">
        <v>644</v>
      </c>
      <c r="L3" t="s">
        <v>645</v>
      </c>
      <c r="S3" t="s">
        <v>197</v>
      </c>
      <c r="T3">
        <v>51.7</v>
      </c>
      <c r="U3">
        <v>-107.1</v>
      </c>
    </row>
    <row r="4" spans="1:21" x14ac:dyDescent="0.25">
      <c r="A4" t="s">
        <v>5</v>
      </c>
      <c r="B4">
        <v>6.3</v>
      </c>
      <c r="J4" t="s">
        <v>199</v>
      </c>
      <c r="K4" t="s">
        <v>646</v>
      </c>
      <c r="L4" t="s">
        <v>647</v>
      </c>
      <c r="S4" t="s">
        <v>198</v>
      </c>
      <c r="T4">
        <v>42.8</v>
      </c>
      <c r="U4">
        <v>11.9</v>
      </c>
    </row>
    <row r="5" spans="1:21" x14ac:dyDescent="0.25">
      <c r="A5" t="s">
        <v>6</v>
      </c>
      <c r="B5">
        <v>4.8</v>
      </c>
      <c r="J5" t="s">
        <v>216</v>
      </c>
      <c r="K5" t="s">
        <v>648</v>
      </c>
      <c r="L5" t="s">
        <v>583</v>
      </c>
      <c r="S5" t="s">
        <v>199</v>
      </c>
      <c r="T5">
        <v>22.9</v>
      </c>
      <c r="U5">
        <v>59.1</v>
      </c>
    </row>
    <row r="6" spans="1:21" x14ac:dyDescent="0.25">
      <c r="A6" t="s">
        <v>7</v>
      </c>
      <c r="B6">
        <v>8.3000000000000007</v>
      </c>
      <c r="J6" t="s">
        <v>225</v>
      </c>
      <c r="K6" t="s">
        <v>649</v>
      </c>
      <c r="L6" t="s">
        <v>650</v>
      </c>
      <c r="S6" t="s">
        <v>200</v>
      </c>
      <c r="T6">
        <v>100.1</v>
      </c>
      <c r="U6">
        <v>88.5</v>
      </c>
    </row>
    <row r="7" spans="1:21" x14ac:dyDescent="0.25">
      <c r="A7" t="s">
        <v>8</v>
      </c>
      <c r="B7">
        <v>4.2</v>
      </c>
      <c r="J7" t="s">
        <v>226</v>
      </c>
      <c r="K7" t="s">
        <v>651</v>
      </c>
      <c r="L7" t="s">
        <v>652</v>
      </c>
      <c r="S7" t="s">
        <v>201</v>
      </c>
      <c r="T7">
        <v>29.3</v>
      </c>
      <c r="U7">
        <v>142.5</v>
      </c>
    </row>
    <row r="8" spans="1:21" x14ac:dyDescent="0.25">
      <c r="A8" t="s">
        <v>9</v>
      </c>
      <c r="B8">
        <v>11.6</v>
      </c>
      <c r="J8" t="s">
        <v>232</v>
      </c>
      <c r="K8" t="s">
        <v>653</v>
      </c>
      <c r="L8" t="s">
        <v>654</v>
      </c>
      <c r="S8" t="s">
        <v>202</v>
      </c>
      <c r="T8">
        <v>70.900000000000006</v>
      </c>
      <c r="U8">
        <v>230.3</v>
      </c>
    </row>
    <row r="9" spans="1:21" x14ac:dyDescent="0.25">
      <c r="A9" t="s">
        <v>10</v>
      </c>
      <c r="B9">
        <v>8.1999999999999993</v>
      </c>
      <c r="J9" t="s">
        <v>237</v>
      </c>
      <c r="K9" t="s">
        <v>655</v>
      </c>
      <c r="L9" t="s">
        <v>591</v>
      </c>
      <c r="S9" t="s">
        <v>203</v>
      </c>
      <c r="T9">
        <v>45.1</v>
      </c>
      <c r="U9">
        <v>-130.4</v>
      </c>
    </row>
    <row r="10" spans="1:21" x14ac:dyDescent="0.25">
      <c r="A10" t="s">
        <v>11</v>
      </c>
      <c r="B10">
        <v>10</v>
      </c>
      <c r="J10" t="s">
        <v>241</v>
      </c>
      <c r="K10" t="s">
        <v>656</v>
      </c>
      <c r="L10" t="s">
        <v>593</v>
      </c>
      <c r="S10" t="s">
        <v>204</v>
      </c>
      <c r="T10">
        <v>32.700000000000003</v>
      </c>
      <c r="U10">
        <v>-124.2</v>
      </c>
    </row>
    <row r="11" spans="1:21" x14ac:dyDescent="0.25">
      <c r="A11" t="s">
        <v>12</v>
      </c>
      <c r="B11">
        <v>8.3000000000000007</v>
      </c>
      <c r="J11" t="s">
        <v>242</v>
      </c>
      <c r="K11" t="s">
        <v>657</v>
      </c>
      <c r="L11" t="s">
        <v>595</v>
      </c>
      <c r="S11" t="s">
        <v>205</v>
      </c>
      <c r="T11">
        <v>3.6</v>
      </c>
      <c r="U11">
        <v>-7.4</v>
      </c>
    </row>
    <row r="12" spans="1:21" x14ac:dyDescent="0.25">
      <c r="A12" t="s">
        <v>13</v>
      </c>
      <c r="B12">
        <v>6</v>
      </c>
      <c r="J12" t="s">
        <v>243</v>
      </c>
      <c r="K12" t="s">
        <v>608</v>
      </c>
      <c r="L12" t="s">
        <v>658</v>
      </c>
      <c r="S12" t="s">
        <v>206</v>
      </c>
      <c r="T12">
        <v>196.7</v>
      </c>
      <c r="U12">
        <v>144.4</v>
      </c>
    </row>
    <row r="13" spans="1:21" x14ac:dyDescent="0.25">
      <c r="A13" t="s">
        <v>14</v>
      </c>
      <c r="B13">
        <v>4</v>
      </c>
      <c r="J13" t="s">
        <v>244</v>
      </c>
      <c r="K13" t="s">
        <v>608</v>
      </c>
      <c r="L13" t="s">
        <v>599</v>
      </c>
      <c r="S13" t="s">
        <v>207</v>
      </c>
      <c r="T13">
        <v>302.60000000000002</v>
      </c>
      <c r="U13">
        <v>-18.3</v>
      </c>
    </row>
    <row r="14" spans="1:21" x14ac:dyDescent="0.25">
      <c r="A14" t="s">
        <v>15</v>
      </c>
      <c r="B14">
        <v>6.4</v>
      </c>
      <c r="J14" t="s">
        <v>245</v>
      </c>
      <c r="K14" t="s">
        <v>659</v>
      </c>
      <c r="L14" t="s">
        <v>601</v>
      </c>
      <c r="S14" t="s">
        <v>208</v>
      </c>
      <c r="T14">
        <v>44.9</v>
      </c>
      <c r="U14">
        <v>-61.8</v>
      </c>
    </row>
    <row r="15" spans="1:21" x14ac:dyDescent="0.25">
      <c r="A15" t="s">
        <v>16</v>
      </c>
      <c r="B15">
        <v>4.5</v>
      </c>
      <c r="J15" t="s">
        <v>246</v>
      </c>
      <c r="K15" t="s">
        <v>608</v>
      </c>
      <c r="L15" t="s">
        <v>603</v>
      </c>
      <c r="S15" t="s">
        <v>209</v>
      </c>
      <c r="T15">
        <v>49.8</v>
      </c>
      <c r="U15">
        <v>-19.600000000000001</v>
      </c>
    </row>
    <row r="16" spans="1:21" x14ac:dyDescent="0.25">
      <c r="A16" t="s">
        <v>17</v>
      </c>
      <c r="B16">
        <v>5</v>
      </c>
      <c r="J16" t="s">
        <v>247</v>
      </c>
      <c r="K16" t="s">
        <v>660</v>
      </c>
      <c r="L16" t="s">
        <v>605</v>
      </c>
      <c r="S16" t="s">
        <v>210</v>
      </c>
      <c r="T16">
        <v>13.1</v>
      </c>
      <c r="U16">
        <v>-10.6</v>
      </c>
    </row>
    <row r="17" spans="1:21" x14ac:dyDescent="0.25">
      <c r="A17" t="s">
        <v>18</v>
      </c>
      <c r="B17">
        <v>10.199999999999999</v>
      </c>
      <c r="J17" t="s">
        <v>248</v>
      </c>
      <c r="K17" t="s">
        <v>661</v>
      </c>
      <c r="L17" t="s">
        <v>662</v>
      </c>
      <c r="S17" t="s">
        <v>211</v>
      </c>
      <c r="T17">
        <v>32.700000000000003</v>
      </c>
      <c r="U17">
        <v>-12.9</v>
      </c>
    </row>
    <row r="18" spans="1:21" x14ac:dyDescent="0.25">
      <c r="A18" t="s">
        <v>19</v>
      </c>
      <c r="B18">
        <v>90</v>
      </c>
      <c r="J18" t="s">
        <v>249</v>
      </c>
      <c r="K18" t="s">
        <v>663</v>
      </c>
      <c r="L18" t="s">
        <v>609</v>
      </c>
      <c r="S18" t="s">
        <v>212</v>
      </c>
      <c r="T18">
        <v>17.899999999999999</v>
      </c>
      <c r="U18">
        <v>-15.4</v>
      </c>
    </row>
    <row r="19" spans="1:21" x14ac:dyDescent="0.25">
      <c r="A19" t="s">
        <v>20</v>
      </c>
      <c r="B19">
        <v>12</v>
      </c>
      <c r="J19" t="s">
        <v>250</v>
      </c>
      <c r="K19" t="s">
        <v>664</v>
      </c>
      <c r="L19" t="s">
        <v>611</v>
      </c>
      <c r="S19" t="s">
        <v>213</v>
      </c>
      <c r="T19">
        <v>54.9</v>
      </c>
      <c r="U19">
        <v>-19.600000000000001</v>
      </c>
    </row>
    <row r="20" spans="1:21" x14ac:dyDescent="0.25">
      <c r="A20" t="s">
        <v>21</v>
      </c>
      <c r="B20">
        <v>32</v>
      </c>
      <c r="J20" t="s">
        <v>251</v>
      </c>
      <c r="K20" t="s">
        <v>665</v>
      </c>
      <c r="L20" t="s">
        <v>613</v>
      </c>
      <c r="S20" t="s">
        <v>214</v>
      </c>
      <c r="T20">
        <v>30.5</v>
      </c>
      <c r="U20">
        <v>172.5</v>
      </c>
    </row>
    <row r="21" spans="1:21" x14ac:dyDescent="0.25">
      <c r="A21" t="s">
        <v>22</v>
      </c>
      <c r="B21">
        <v>8</v>
      </c>
      <c r="J21" t="s">
        <v>252</v>
      </c>
      <c r="K21" t="s">
        <v>666</v>
      </c>
      <c r="L21" t="s">
        <v>667</v>
      </c>
      <c r="S21" t="s">
        <v>215</v>
      </c>
      <c r="T21">
        <v>59.7</v>
      </c>
      <c r="U21">
        <v>-20.100000000000001</v>
      </c>
    </row>
    <row r="22" spans="1:21" x14ac:dyDescent="0.25">
      <c r="A22" t="s">
        <v>23</v>
      </c>
      <c r="B22">
        <v>113</v>
      </c>
      <c r="J22" t="s">
        <v>253</v>
      </c>
      <c r="K22" t="s">
        <v>668</v>
      </c>
      <c r="L22" t="s">
        <v>669</v>
      </c>
      <c r="S22" t="s">
        <v>216</v>
      </c>
      <c r="T22">
        <v>18.3</v>
      </c>
      <c r="U22">
        <v>-17.3</v>
      </c>
    </row>
    <row r="23" spans="1:21" x14ac:dyDescent="0.25">
      <c r="A23" t="s">
        <v>24</v>
      </c>
      <c r="B23">
        <v>7.5</v>
      </c>
      <c r="J23" t="s">
        <v>255</v>
      </c>
      <c r="K23" t="s">
        <v>670</v>
      </c>
      <c r="L23" t="s">
        <v>618</v>
      </c>
      <c r="S23" t="s">
        <v>217</v>
      </c>
      <c r="T23">
        <v>44.3</v>
      </c>
      <c r="U23">
        <v>230.4</v>
      </c>
    </row>
    <row r="24" spans="1:21" x14ac:dyDescent="0.25">
      <c r="A24" t="s">
        <v>25</v>
      </c>
      <c r="B24">
        <v>9.6999999999999993</v>
      </c>
      <c r="J24" t="s">
        <v>256</v>
      </c>
      <c r="K24" t="s">
        <v>671</v>
      </c>
      <c r="L24" t="s">
        <v>620</v>
      </c>
      <c r="S24" t="s">
        <v>218</v>
      </c>
      <c r="T24">
        <v>105.7</v>
      </c>
      <c r="U24">
        <v>-13.1</v>
      </c>
    </row>
    <row r="25" spans="1:21" x14ac:dyDescent="0.25">
      <c r="A25" t="s">
        <v>26</v>
      </c>
      <c r="B25">
        <v>14</v>
      </c>
      <c r="J25" t="s">
        <v>257</v>
      </c>
      <c r="K25" t="s">
        <v>672</v>
      </c>
      <c r="L25" t="s">
        <v>621</v>
      </c>
      <c r="S25" t="s">
        <v>219</v>
      </c>
      <c r="T25">
        <v>31.8</v>
      </c>
      <c r="U25">
        <v>230.4</v>
      </c>
    </row>
    <row r="26" spans="1:21" x14ac:dyDescent="0.25">
      <c r="A26" t="s">
        <v>27</v>
      </c>
      <c r="B26">
        <v>88.2</v>
      </c>
      <c r="J26" t="s">
        <v>258</v>
      </c>
      <c r="K26" t="s">
        <v>673</v>
      </c>
      <c r="L26" t="s">
        <v>623</v>
      </c>
      <c r="S26" t="s">
        <v>220</v>
      </c>
      <c r="T26">
        <v>29.6</v>
      </c>
      <c r="U26">
        <v>130</v>
      </c>
    </row>
    <row r="27" spans="1:21" x14ac:dyDescent="0.25">
      <c r="A27" t="s">
        <v>28</v>
      </c>
      <c r="B27">
        <v>125</v>
      </c>
      <c r="J27" t="s">
        <v>259</v>
      </c>
      <c r="K27" t="s">
        <v>674</v>
      </c>
      <c r="L27" t="s">
        <v>675</v>
      </c>
      <c r="S27" t="s">
        <v>221</v>
      </c>
      <c r="T27">
        <v>23.1</v>
      </c>
      <c r="U27">
        <v>-11.4</v>
      </c>
    </row>
    <row r="28" spans="1:21" x14ac:dyDescent="0.25">
      <c r="A28" t="s">
        <v>29</v>
      </c>
      <c r="B28">
        <v>26.5</v>
      </c>
      <c r="J28" t="s">
        <v>492</v>
      </c>
      <c r="K28" t="s">
        <v>676</v>
      </c>
      <c r="L28" t="s">
        <v>608</v>
      </c>
      <c r="S28" t="s">
        <v>222</v>
      </c>
      <c r="T28">
        <v>51.5</v>
      </c>
      <c r="U28">
        <v>-17.600000000000001</v>
      </c>
    </row>
    <row r="29" spans="1:21" x14ac:dyDescent="0.25">
      <c r="A29" t="s">
        <v>30</v>
      </c>
      <c r="B29">
        <v>33</v>
      </c>
      <c r="J29" t="s">
        <v>476</v>
      </c>
      <c r="K29" t="s">
        <v>677</v>
      </c>
      <c r="L29" t="s">
        <v>608</v>
      </c>
      <c r="S29" t="s">
        <v>223</v>
      </c>
      <c r="T29">
        <v>32.200000000000003</v>
      </c>
      <c r="U29">
        <v>-47.3</v>
      </c>
    </row>
    <row r="30" spans="1:21" x14ac:dyDescent="0.25">
      <c r="A30" t="s">
        <v>31</v>
      </c>
      <c r="B30">
        <v>46.25090058740188</v>
      </c>
      <c r="J30" t="s">
        <v>479</v>
      </c>
      <c r="K30" t="s">
        <v>678</v>
      </c>
      <c r="L30" t="s">
        <v>608</v>
      </c>
      <c r="S30" t="s">
        <v>224</v>
      </c>
      <c r="T30">
        <v>3.2</v>
      </c>
      <c r="U30">
        <v>-127.8</v>
      </c>
    </row>
    <row r="31" spans="1:21" x14ac:dyDescent="0.25">
      <c r="A31" t="s">
        <v>32</v>
      </c>
      <c r="B31">
        <v>38.700000000000003</v>
      </c>
      <c r="J31" t="s">
        <v>494</v>
      </c>
      <c r="K31" t="s">
        <v>679</v>
      </c>
      <c r="L31" t="s">
        <v>608</v>
      </c>
      <c r="S31" t="s">
        <v>225</v>
      </c>
      <c r="T31">
        <v>36.9</v>
      </c>
      <c r="U31">
        <v>117.2</v>
      </c>
    </row>
    <row r="32" spans="1:21" x14ac:dyDescent="0.25">
      <c r="A32" t="s">
        <v>33</v>
      </c>
      <c r="B32">
        <v>22</v>
      </c>
      <c r="J32" t="s">
        <v>19</v>
      </c>
      <c r="K32" t="s">
        <v>680</v>
      </c>
      <c r="L32" t="s">
        <v>681</v>
      </c>
      <c r="S32" t="s">
        <v>226</v>
      </c>
      <c r="T32">
        <v>30.9</v>
      </c>
      <c r="U32">
        <v>116.2</v>
      </c>
    </row>
    <row r="33" spans="1:21" x14ac:dyDescent="0.25">
      <c r="A33" t="s">
        <v>34</v>
      </c>
      <c r="B33">
        <v>28.5</v>
      </c>
      <c r="J33" t="s">
        <v>28</v>
      </c>
      <c r="K33" t="s">
        <v>682</v>
      </c>
      <c r="L33" t="s">
        <v>683</v>
      </c>
      <c r="S33" t="s">
        <v>227</v>
      </c>
      <c r="T33">
        <v>13.9</v>
      </c>
      <c r="U33">
        <v>-9.6999999999999993</v>
      </c>
    </row>
    <row r="34" spans="1:21" x14ac:dyDescent="0.25">
      <c r="A34" t="s">
        <v>35</v>
      </c>
      <c r="B34">
        <v>9.8000000000000007</v>
      </c>
      <c r="J34" t="s">
        <v>29</v>
      </c>
      <c r="K34" t="s">
        <v>684</v>
      </c>
      <c r="L34" t="s">
        <v>685</v>
      </c>
      <c r="S34" t="s">
        <v>228</v>
      </c>
      <c r="T34">
        <v>53.9</v>
      </c>
      <c r="U34">
        <v>73.400000000000006</v>
      </c>
    </row>
    <row r="35" spans="1:21" x14ac:dyDescent="0.25">
      <c r="A35" t="s">
        <v>36</v>
      </c>
      <c r="B35">
        <v>10.4</v>
      </c>
      <c r="J35" t="s">
        <v>31</v>
      </c>
      <c r="K35" t="s">
        <v>686</v>
      </c>
      <c r="L35" t="s">
        <v>687</v>
      </c>
      <c r="S35" t="s">
        <v>229</v>
      </c>
      <c r="T35">
        <v>6.6</v>
      </c>
      <c r="U35">
        <v>86.9</v>
      </c>
    </row>
    <row r="36" spans="1:21" x14ac:dyDescent="0.25">
      <c r="A36" t="s">
        <v>37</v>
      </c>
      <c r="B36">
        <v>27.8</v>
      </c>
      <c r="S36" t="s">
        <v>230</v>
      </c>
      <c r="T36">
        <v>16.8</v>
      </c>
      <c r="U36">
        <v>-95.5</v>
      </c>
    </row>
    <row r="37" spans="1:21" x14ac:dyDescent="0.25">
      <c r="A37" t="s">
        <v>38</v>
      </c>
      <c r="B37">
        <v>5.2</v>
      </c>
      <c r="S37" t="s">
        <v>231</v>
      </c>
      <c r="T37">
        <v>62.3</v>
      </c>
      <c r="U37">
        <v>-109.6</v>
      </c>
    </row>
    <row r="38" spans="1:21" x14ac:dyDescent="0.25">
      <c r="A38" t="s">
        <v>39</v>
      </c>
      <c r="B38">
        <v>13.3</v>
      </c>
      <c r="S38" t="s">
        <v>232</v>
      </c>
      <c r="T38">
        <v>11.2</v>
      </c>
      <c r="U38">
        <v>110.1</v>
      </c>
    </row>
    <row r="39" spans="1:21" x14ac:dyDescent="0.25">
      <c r="A39" t="s">
        <v>40</v>
      </c>
      <c r="B39">
        <v>38.700000000000003</v>
      </c>
      <c r="S39" t="s">
        <v>233</v>
      </c>
      <c r="T39">
        <v>10.7</v>
      </c>
      <c r="U39">
        <v>-93.5</v>
      </c>
    </row>
    <row r="40" spans="1:21" x14ac:dyDescent="0.25">
      <c r="A40" t="s">
        <v>41</v>
      </c>
      <c r="B40">
        <v>11</v>
      </c>
      <c r="S40" t="s">
        <v>234</v>
      </c>
      <c r="T40">
        <v>118.8</v>
      </c>
      <c r="U40">
        <v>146.9</v>
      </c>
    </row>
    <row r="41" spans="1:21" x14ac:dyDescent="0.25">
      <c r="A41" t="s">
        <v>42</v>
      </c>
      <c r="B41">
        <v>29.2</v>
      </c>
      <c r="S41" t="s">
        <v>235</v>
      </c>
      <c r="T41">
        <v>55.7</v>
      </c>
      <c r="U41">
        <v>-73.900000000000006</v>
      </c>
    </row>
    <row r="42" spans="1:21" x14ac:dyDescent="0.25">
      <c r="A42" t="s">
        <v>43</v>
      </c>
      <c r="B42">
        <v>10.5</v>
      </c>
      <c r="S42" t="s">
        <v>236</v>
      </c>
      <c r="T42">
        <v>43.2</v>
      </c>
      <c r="U42">
        <v>121.2</v>
      </c>
    </row>
    <row r="43" spans="1:21" x14ac:dyDescent="0.25">
      <c r="A43" t="s">
        <v>44</v>
      </c>
      <c r="B43">
        <v>11.8</v>
      </c>
      <c r="S43" t="s">
        <v>237</v>
      </c>
      <c r="T43">
        <v>70.8</v>
      </c>
      <c r="U43">
        <v>-96.9</v>
      </c>
    </row>
    <row r="44" spans="1:21" x14ac:dyDescent="0.25">
      <c r="A44" t="s">
        <v>45</v>
      </c>
      <c r="B44">
        <v>5</v>
      </c>
      <c r="S44" t="s">
        <v>238</v>
      </c>
      <c r="T44">
        <v>47.8</v>
      </c>
      <c r="U44">
        <v>-98.5</v>
      </c>
    </row>
    <row r="45" spans="1:21" x14ac:dyDescent="0.25">
      <c r="A45" t="s">
        <v>46</v>
      </c>
      <c r="B45">
        <v>13.3</v>
      </c>
      <c r="S45" t="s">
        <v>239</v>
      </c>
      <c r="T45">
        <v>46.9</v>
      </c>
      <c r="U45">
        <v>1.1000000000000001</v>
      </c>
    </row>
    <row r="46" spans="1:21" x14ac:dyDescent="0.25">
      <c r="A46" t="s">
        <v>47</v>
      </c>
      <c r="B46">
        <v>118.5</v>
      </c>
      <c r="S46" t="s">
        <v>240</v>
      </c>
      <c r="T46">
        <v>142.1</v>
      </c>
      <c r="U46">
        <v>8.5</v>
      </c>
    </row>
    <row r="47" spans="1:21" x14ac:dyDescent="0.25">
      <c r="A47" t="s">
        <v>48</v>
      </c>
      <c r="B47">
        <v>34.5</v>
      </c>
      <c r="S47" t="s">
        <v>241</v>
      </c>
      <c r="T47">
        <v>143.5</v>
      </c>
      <c r="U47">
        <v>-98.3</v>
      </c>
    </row>
    <row r="48" spans="1:21" x14ac:dyDescent="0.25">
      <c r="A48" t="s">
        <v>49</v>
      </c>
      <c r="B48">
        <v>42.5</v>
      </c>
      <c r="S48" t="s">
        <v>242</v>
      </c>
      <c r="T48">
        <v>22.3</v>
      </c>
      <c r="U48">
        <v>-100.6</v>
      </c>
    </row>
    <row r="49" spans="1:21" x14ac:dyDescent="0.25">
      <c r="A49" t="s">
        <v>50</v>
      </c>
      <c r="B49">
        <v>12.7</v>
      </c>
      <c r="S49" t="s">
        <v>243</v>
      </c>
      <c r="T49">
        <v>26.8</v>
      </c>
      <c r="U49">
        <v>128.1</v>
      </c>
    </row>
    <row r="50" spans="1:21" x14ac:dyDescent="0.25">
      <c r="A50" t="s">
        <v>51</v>
      </c>
      <c r="B50">
        <v>5.8</v>
      </c>
      <c r="S50" t="s">
        <v>244</v>
      </c>
      <c r="T50">
        <v>37.5</v>
      </c>
      <c r="U50">
        <v>-79.900000000000006</v>
      </c>
    </row>
    <row r="51" spans="1:21" x14ac:dyDescent="0.25">
      <c r="A51" t="s">
        <v>52</v>
      </c>
      <c r="B51">
        <v>14.2</v>
      </c>
      <c r="S51" t="s">
        <v>245</v>
      </c>
      <c r="T51">
        <v>53.3</v>
      </c>
      <c r="U51">
        <v>-16.899999999999999</v>
      </c>
    </row>
    <row r="52" spans="1:21" x14ac:dyDescent="0.25">
      <c r="A52" t="s">
        <v>53</v>
      </c>
      <c r="B52">
        <v>24.2</v>
      </c>
      <c r="S52" t="s">
        <v>246</v>
      </c>
      <c r="T52">
        <v>62</v>
      </c>
      <c r="U52">
        <v>-4.5999999999999996</v>
      </c>
    </row>
    <row r="53" spans="1:21" x14ac:dyDescent="0.25">
      <c r="A53" t="s">
        <v>54</v>
      </c>
      <c r="B53">
        <v>26.5</v>
      </c>
      <c r="S53" t="s">
        <v>247</v>
      </c>
      <c r="T53">
        <v>18.899999999999999</v>
      </c>
      <c r="U53">
        <v>-2.7</v>
      </c>
    </row>
    <row r="54" spans="1:21" x14ac:dyDescent="0.25">
      <c r="A54" t="s">
        <v>55</v>
      </c>
      <c r="B54">
        <v>21</v>
      </c>
      <c r="S54" t="s">
        <v>248</v>
      </c>
      <c r="T54">
        <v>8</v>
      </c>
      <c r="U54">
        <v>169.5</v>
      </c>
    </row>
    <row r="55" spans="1:21" x14ac:dyDescent="0.25">
      <c r="A55" t="s">
        <v>56</v>
      </c>
      <c r="B55">
        <v>19</v>
      </c>
      <c r="S55" t="s">
        <v>249</v>
      </c>
      <c r="T55">
        <v>229.8</v>
      </c>
      <c r="U55">
        <v>-25.4</v>
      </c>
    </row>
    <row r="56" spans="1:21" x14ac:dyDescent="0.25">
      <c r="A56" t="s">
        <v>57</v>
      </c>
      <c r="B56">
        <v>7</v>
      </c>
      <c r="S56" t="s">
        <v>250</v>
      </c>
      <c r="T56">
        <v>33.799999999999997</v>
      </c>
      <c r="U56">
        <v>-30.5</v>
      </c>
    </row>
    <row r="57" spans="1:21" x14ac:dyDescent="0.25">
      <c r="A57" t="s">
        <v>58</v>
      </c>
      <c r="B57">
        <v>8.1</v>
      </c>
      <c r="S57" t="s">
        <v>251</v>
      </c>
      <c r="T57">
        <v>28.3</v>
      </c>
      <c r="U57">
        <v>-8.6</v>
      </c>
    </row>
    <row r="58" spans="1:21" x14ac:dyDescent="0.25">
      <c r="A58" t="s">
        <v>59</v>
      </c>
      <c r="B58">
        <v>12</v>
      </c>
      <c r="S58" t="s">
        <v>252</v>
      </c>
      <c r="T58">
        <v>92.4</v>
      </c>
      <c r="U58">
        <v>11.4</v>
      </c>
    </row>
    <row r="59" spans="1:21" x14ac:dyDescent="0.25">
      <c r="A59" t="s">
        <v>60</v>
      </c>
      <c r="B59">
        <v>8.8000000000000007</v>
      </c>
      <c r="S59" t="s">
        <v>253</v>
      </c>
      <c r="T59">
        <v>63.5</v>
      </c>
      <c r="U59">
        <v>64.5</v>
      </c>
    </row>
    <row r="60" spans="1:21" x14ac:dyDescent="0.25">
      <c r="A60" t="s">
        <v>61</v>
      </c>
      <c r="B60">
        <v>19.7</v>
      </c>
      <c r="S60" t="s">
        <v>254</v>
      </c>
      <c r="T60">
        <v>40.6</v>
      </c>
      <c r="U60">
        <v>-100.2</v>
      </c>
    </row>
    <row r="61" spans="1:21" x14ac:dyDescent="0.25">
      <c r="A61" t="s">
        <v>62</v>
      </c>
      <c r="B61">
        <v>48</v>
      </c>
      <c r="S61" t="s">
        <v>255</v>
      </c>
      <c r="T61">
        <v>31.7</v>
      </c>
      <c r="U61">
        <v>-6.3</v>
      </c>
    </row>
    <row r="62" spans="1:21" x14ac:dyDescent="0.25">
      <c r="A62" t="s">
        <v>63</v>
      </c>
      <c r="B62">
        <v>22.5</v>
      </c>
      <c r="S62" t="s">
        <v>256</v>
      </c>
      <c r="T62">
        <v>77</v>
      </c>
      <c r="U62">
        <v>-10.4</v>
      </c>
    </row>
    <row r="63" spans="1:21" x14ac:dyDescent="0.25">
      <c r="A63" t="s">
        <v>64</v>
      </c>
      <c r="B63">
        <v>84</v>
      </c>
      <c r="S63" t="s">
        <v>257</v>
      </c>
      <c r="T63">
        <v>96.7</v>
      </c>
      <c r="U63">
        <v>-20.100000000000001</v>
      </c>
    </row>
    <row r="64" spans="1:21" x14ac:dyDescent="0.25">
      <c r="A64" t="s">
        <v>65</v>
      </c>
      <c r="B64">
        <v>7.2</v>
      </c>
      <c r="S64" t="s">
        <v>258</v>
      </c>
      <c r="T64">
        <v>41.5</v>
      </c>
      <c r="U64">
        <v>-48.8</v>
      </c>
    </row>
    <row r="65" spans="1:21" x14ac:dyDescent="0.25">
      <c r="A65" t="s">
        <v>66</v>
      </c>
      <c r="B65">
        <v>17.5</v>
      </c>
      <c r="S65" t="s">
        <v>259</v>
      </c>
      <c r="T65">
        <v>1.2</v>
      </c>
      <c r="U65">
        <v>0.4</v>
      </c>
    </row>
    <row r="66" spans="1:21" x14ac:dyDescent="0.25">
      <c r="A66" t="s">
        <v>67</v>
      </c>
      <c r="B66">
        <v>8.8000000000000007</v>
      </c>
    </row>
    <row r="67" spans="1:21" x14ac:dyDescent="0.25">
      <c r="A67" t="s">
        <v>68</v>
      </c>
      <c r="B67">
        <v>5.8</v>
      </c>
    </row>
    <row r="68" spans="1:21" x14ac:dyDescent="0.25">
      <c r="A68" t="s">
        <v>69</v>
      </c>
      <c r="B68">
        <v>13.2</v>
      </c>
    </row>
    <row r="69" spans="1:21" x14ac:dyDescent="0.25">
      <c r="A69" t="s">
        <v>70</v>
      </c>
      <c r="B69">
        <v>12.6</v>
      </c>
    </row>
    <row r="70" spans="1:21" x14ac:dyDescent="0.25">
      <c r="A70" t="s">
        <v>71</v>
      </c>
      <c r="B70">
        <v>6.5</v>
      </c>
    </row>
    <row r="71" spans="1:21" x14ac:dyDescent="0.25">
      <c r="A71" t="s">
        <v>72</v>
      </c>
      <c r="B71">
        <v>9.4</v>
      </c>
    </row>
    <row r="72" spans="1:21" x14ac:dyDescent="0.25">
      <c r="A72" t="s">
        <v>73</v>
      </c>
      <c r="B72">
        <v>9.8000000000000007</v>
      </c>
    </row>
    <row r="73" spans="1:21" x14ac:dyDescent="0.25">
      <c r="A73" t="s">
        <v>74</v>
      </c>
      <c r="B73">
        <v>7.2</v>
      </c>
    </row>
    <row r="74" spans="1:21" x14ac:dyDescent="0.25">
      <c r="A74" t="s">
        <v>75</v>
      </c>
      <c r="B74">
        <v>5.9238618504684544</v>
      </c>
    </row>
    <row r="75" spans="1:21" x14ac:dyDescent="0.25">
      <c r="A75" t="s">
        <v>76</v>
      </c>
      <c r="B75">
        <v>7.7</v>
      </c>
    </row>
    <row r="76" spans="1:21" x14ac:dyDescent="0.25">
      <c r="A76" t="s">
        <v>77</v>
      </c>
      <c r="B76">
        <v>5.6</v>
      </c>
    </row>
    <row r="77" spans="1:21" x14ac:dyDescent="0.25">
      <c r="A77" t="s">
        <v>78</v>
      </c>
      <c r="B77">
        <v>7.8</v>
      </c>
    </row>
    <row r="78" spans="1:21" x14ac:dyDescent="0.25">
      <c r="A78" t="s">
        <v>79</v>
      </c>
      <c r="B78">
        <v>5.7</v>
      </c>
    </row>
    <row r="79" spans="1:21" x14ac:dyDescent="0.25">
      <c r="A79" t="s">
        <v>80</v>
      </c>
      <c r="B79">
        <v>12.1</v>
      </c>
    </row>
    <row r="80" spans="1:21" x14ac:dyDescent="0.25">
      <c r="A80" t="s">
        <v>81</v>
      </c>
      <c r="B80">
        <v>8.1</v>
      </c>
    </row>
    <row r="81" spans="1:2" x14ac:dyDescent="0.25">
      <c r="A81" t="s">
        <v>82</v>
      </c>
      <c r="B81">
        <v>5.0999999999999996</v>
      </c>
    </row>
    <row r="82" spans="1:2" x14ac:dyDescent="0.25">
      <c r="A82" t="s">
        <v>83</v>
      </c>
      <c r="B82">
        <v>6.7</v>
      </c>
    </row>
    <row r="83" spans="1:2" x14ac:dyDescent="0.25">
      <c r="A83" t="s">
        <v>84</v>
      </c>
      <c r="B83">
        <v>19.399999999999999</v>
      </c>
    </row>
    <row r="84" spans="1:2" x14ac:dyDescent="0.25">
      <c r="A84" t="s">
        <v>85</v>
      </c>
      <c r="B84">
        <v>65.5</v>
      </c>
    </row>
    <row r="85" spans="1:2" x14ac:dyDescent="0.25">
      <c r="A85" t="s">
        <v>86</v>
      </c>
      <c r="B85">
        <v>5.2</v>
      </c>
    </row>
    <row r="86" spans="1:2" x14ac:dyDescent="0.25">
      <c r="A86" t="s">
        <v>87</v>
      </c>
      <c r="B86">
        <v>45</v>
      </c>
    </row>
    <row r="87" spans="1:2" x14ac:dyDescent="0.25">
      <c r="A87" t="s">
        <v>88</v>
      </c>
      <c r="B87">
        <v>5.3</v>
      </c>
    </row>
    <row r="88" spans="1:2" x14ac:dyDescent="0.25">
      <c r="A88" t="s">
        <v>89</v>
      </c>
      <c r="B88">
        <v>7.1</v>
      </c>
    </row>
    <row r="89" spans="1:2" x14ac:dyDescent="0.25">
      <c r="A89" t="s">
        <v>90</v>
      </c>
      <c r="B89">
        <v>9.6999999999999993</v>
      </c>
    </row>
    <row r="90" spans="1:2" x14ac:dyDescent="0.25">
      <c r="A90" t="s">
        <v>91</v>
      </c>
      <c r="B90">
        <v>25.3</v>
      </c>
    </row>
    <row r="91" spans="1:2" x14ac:dyDescent="0.25">
      <c r="A91" t="s">
        <v>92</v>
      </c>
      <c r="B91">
        <v>49</v>
      </c>
    </row>
    <row r="92" spans="1:2" x14ac:dyDescent="0.25">
      <c r="A92" t="s">
        <v>93</v>
      </c>
      <c r="B92">
        <v>19.600000000000001</v>
      </c>
    </row>
    <row r="93" spans="1:2" x14ac:dyDescent="0.25">
      <c r="A93" t="s">
        <v>94</v>
      </c>
      <c r="B93">
        <v>39.200000000000003</v>
      </c>
    </row>
    <row r="94" spans="1:2" x14ac:dyDescent="0.25">
      <c r="A94" t="s">
        <v>95</v>
      </c>
      <c r="B94">
        <v>15.2</v>
      </c>
    </row>
    <row r="95" spans="1:2" x14ac:dyDescent="0.25">
      <c r="A95" t="s">
        <v>96</v>
      </c>
      <c r="B95">
        <v>15.7</v>
      </c>
    </row>
    <row r="96" spans="1:2" x14ac:dyDescent="0.25">
      <c r="A96" t="s">
        <v>97</v>
      </c>
      <c r="B96">
        <v>25.3</v>
      </c>
    </row>
    <row r="97" spans="1:2" x14ac:dyDescent="0.25">
      <c r="A97" t="s">
        <v>98</v>
      </c>
      <c r="B97">
        <v>19.7</v>
      </c>
    </row>
    <row r="98" spans="1:2" x14ac:dyDescent="0.25">
      <c r="A98" t="s">
        <v>99</v>
      </c>
      <c r="B98">
        <v>6.2</v>
      </c>
    </row>
    <row r="99" spans="1:2" x14ac:dyDescent="0.25">
      <c r="A99" t="s">
        <v>100</v>
      </c>
      <c r="B99">
        <v>13.1</v>
      </c>
    </row>
    <row r="100" spans="1:2" x14ac:dyDescent="0.25">
      <c r="A100" t="s">
        <v>101</v>
      </c>
      <c r="B100">
        <v>17.399999999999999</v>
      </c>
    </row>
    <row r="101" spans="1:2" x14ac:dyDescent="0.25">
      <c r="A101" t="s">
        <v>102</v>
      </c>
      <c r="B101">
        <v>7.9</v>
      </c>
    </row>
    <row r="102" spans="1:2" x14ac:dyDescent="0.25">
      <c r="A102" t="s">
        <v>103</v>
      </c>
      <c r="B102">
        <v>36.612905613529612</v>
      </c>
    </row>
    <row r="103" spans="1:2" x14ac:dyDescent="0.25">
      <c r="A103" t="s">
        <v>104</v>
      </c>
      <c r="B103">
        <v>6.3</v>
      </c>
    </row>
    <row r="104" spans="1:2" x14ac:dyDescent="0.25">
      <c r="A104" t="s">
        <v>105</v>
      </c>
      <c r="B104">
        <v>10.8</v>
      </c>
    </row>
    <row r="105" spans="1:2" x14ac:dyDescent="0.25">
      <c r="A105" t="s">
        <v>106</v>
      </c>
      <c r="B105">
        <v>7</v>
      </c>
    </row>
    <row r="106" spans="1:2" x14ac:dyDescent="0.25">
      <c r="A106" t="s">
        <v>107</v>
      </c>
      <c r="B106">
        <v>5.3</v>
      </c>
    </row>
    <row r="107" spans="1:2" x14ac:dyDescent="0.25">
      <c r="A107" t="s">
        <v>108</v>
      </c>
      <c r="B107">
        <v>7.6</v>
      </c>
    </row>
    <row r="108" spans="1:2" x14ac:dyDescent="0.25">
      <c r="A108" t="s">
        <v>109</v>
      </c>
      <c r="B108">
        <v>6.6</v>
      </c>
    </row>
    <row r="109" spans="1:2" x14ac:dyDescent="0.25">
      <c r="A109" t="s">
        <v>110</v>
      </c>
      <c r="B109">
        <v>5</v>
      </c>
    </row>
    <row r="110" spans="1:2" x14ac:dyDescent="0.25">
      <c r="A110" t="s">
        <v>111</v>
      </c>
      <c r="B110">
        <v>7.7</v>
      </c>
    </row>
    <row r="111" spans="1:2" x14ac:dyDescent="0.25">
      <c r="A111" t="s">
        <v>112</v>
      </c>
      <c r="B111">
        <v>9.8000000000000007</v>
      </c>
    </row>
    <row r="112" spans="1:2" x14ac:dyDescent="0.25">
      <c r="A112" t="s">
        <v>113</v>
      </c>
      <c r="B112">
        <v>5.4</v>
      </c>
    </row>
    <row r="113" spans="1:2" x14ac:dyDescent="0.25">
      <c r="A113" t="s">
        <v>114</v>
      </c>
      <c r="B113">
        <v>71</v>
      </c>
    </row>
    <row r="114" spans="1:2" x14ac:dyDescent="0.25">
      <c r="A114" t="s">
        <v>115</v>
      </c>
      <c r="B114">
        <v>4.2</v>
      </c>
    </row>
    <row r="115" spans="1:2" x14ac:dyDescent="0.25">
      <c r="A115" t="s">
        <v>116</v>
      </c>
      <c r="B115">
        <v>4</v>
      </c>
    </row>
    <row r="116" spans="1:2" x14ac:dyDescent="0.25">
      <c r="A116" t="s">
        <v>117</v>
      </c>
      <c r="B116">
        <v>5.2</v>
      </c>
    </row>
    <row r="117" spans="1:2" x14ac:dyDescent="0.25">
      <c r="A117" t="s">
        <v>118</v>
      </c>
      <c r="B117">
        <v>5.3</v>
      </c>
    </row>
    <row r="118" spans="1:2" x14ac:dyDescent="0.25">
      <c r="A118" t="s">
        <v>119</v>
      </c>
      <c r="B118">
        <v>4.3</v>
      </c>
    </row>
    <row r="119" spans="1:2" x14ac:dyDescent="0.25">
      <c r="A119" t="s">
        <v>120</v>
      </c>
      <c r="B119">
        <v>9.4</v>
      </c>
    </row>
    <row r="120" spans="1:2" x14ac:dyDescent="0.25">
      <c r="A120" t="s">
        <v>121</v>
      </c>
      <c r="B120">
        <v>7.8</v>
      </c>
    </row>
    <row r="121" spans="1:2" x14ac:dyDescent="0.25">
      <c r="A121" t="s">
        <v>122</v>
      </c>
      <c r="B121">
        <v>5.2</v>
      </c>
    </row>
    <row r="122" spans="1:2" x14ac:dyDescent="0.25">
      <c r="A122" t="s">
        <v>123</v>
      </c>
      <c r="B122">
        <v>4.0999999999999996</v>
      </c>
    </row>
    <row r="123" spans="1:2" x14ac:dyDescent="0.25">
      <c r="A123" t="s">
        <v>124</v>
      </c>
      <c r="B123">
        <v>4.7</v>
      </c>
    </row>
    <row r="124" spans="1:2" x14ac:dyDescent="0.25">
      <c r="A124" t="s">
        <v>125</v>
      </c>
      <c r="B124">
        <v>9</v>
      </c>
    </row>
    <row r="125" spans="1:2" x14ac:dyDescent="0.25">
      <c r="A125" t="s">
        <v>126</v>
      </c>
      <c r="B125">
        <v>10.8</v>
      </c>
    </row>
    <row r="126" spans="1:2" x14ac:dyDescent="0.25">
      <c r="A126" t="s">
        <v>127</v>
      </c>
      <c r="B126">
        <v>20</v>
      </c>
    </row>
    <row r="127" spans="1:2" x14ac:dyDescent="0.25">
      <c r="A127" t="s">
        <v>128</v>
      </c>
      <c r="B127">
        <v>4.3</v>
      </c>
    </row>
    <row r="128" spans="1:2" x14ac:dyDescent="0.25">
      <c r="A128" t="s">
        <v>129</v>
      </c>
      <c r="B128">
        <v>7.2</v>
      </c>
    </row>
    <row r="129" spans="1:2" x14ac:dyDescent="0.25">
      <c r="A129" t="s">
        <v>130</v>
      </c>
      <c r="B129">
        <v>8.9</v>
      </c>
    </row>
    <row r="130" spans="1:2" x14ac:dyDescent="0.25">
      <c r="A130" t="s">
        <v>131</v>
      </c>
      <c r="B130">
        <v>5.6</v>
      </c>
    </row>
    <row r="131" spans="1:2" x14ac:dyDescent="0.25">
      <c r="A131" t="s">
        <v>132</v>
      </c>
      <c r="B131">
        <v>7.1</v>
      </c>
    </row>
    <row r="132" spans="1:2" x14ac:dyDescent="0.25">
      <c r="A132" t="s">
        <v>133</v>
      </c>
      <c r="B132">
        <v>4.7</v>
      </c>
    </row>
    <row r="133" spans="1:2" x14ac:dyDescent="0.25">
      <c r="A133" t="s">
        <v>134</v>
      </c>
      <c r="B133">
        <v>5</v>
      </c>
    </row>
    <row r="134" spans="1:2" x14ac:dyDescent="0.25">
      <c r="A134" t="s">
        <v>135</v>
      </c>
      <c r="B134">
        <v>6.8</v>
      </c>
    </row>
    <row r="135" spans="1:2" x14ac:dyDescent="0.25">
      <c r="A135" t="s">
        <v>136</v>
      </c>
      <c r="B135">
        <v>4.4000000000000004</v>
      </c>
    </row>
    <row r="136" spans="1:2" x14ac:dyDescent="0.25">
      <c r="A136" t="s">
        <v>137</v>
      </c>
      <c r="B136">
        <v>16.2</v>
      </c>
    </row>
    <row r="137" spans="1:2" x14ac:dyDescent="0.25">
      <c r="A137" t="s">
        <v>138</v>
      </c>
      <c r="B137">
        <v>4.3</v>
      </c>
    </row>
    <row r="138" spans="1:2" x14ac:dyDescent="0.25">
      <c r="A138" t="s">
        <v>139</v>
      </c>
      <c r="B138">
        <v>27.8</v>
      </c>
    </row>
    <row r="139" spans="1:2" x14ac:dyDescent="0.25">
      <c r="A139" t="s">
        <v>140</v>
      </c>
      <c r="B139">
        <v>61.713043818298232</v>
      </c>
    </row>
    <row r="140" spans="1:2" x14ac:dyDescent="0.25">
      <c r="A140" t="s">
        <v>141</v>
      </c>
      <c r="B140">
        <v>5.3</v>
      </c>
    </row>
    <row r="141" spans="1:2" x14ac:dyDescent="0.25">
      <c r="A141" t="s">
        <v>142</v>
      </c>
      <c r="B141">
        <v>9.5</v>
      </c>
    </row>
    <row r="142" spans="1:2" x14ac:dyDescent="0.25">
      <c r="A142" t="s">
        <v>143</v>
      </c>
      <c r="B142">
        <v>4.5</v>
      </c>
    </row>
    <row r="143" spans="1:2" x14ac:dyDescent="0.25">
      <c r="A143" t="s">
        <v>144</v>
      </c>
      <c r="B143">
        <v>4.3</v>
      </c>
    </row>
    <row r="144" spans="1:2" x14ac:dyDescent="0.25">
      <c r="A144" t="s">
        <v>145</v>
      </c>
      <c r="B144">
        <v>8.6</v>
      </c>
    </row>
    <row r="145" spans="1:2" x14ac:dyDescent="0.25">
      <c r="A145" t="s">
        <v>146</v>
      </c>
      <c r="B145">
        <v>11.3</v>
      </c>
    </row>
    <row r="146" spans="1:2" x14ac:dyDescent="0.25">
      <c r="A146" t="s">
        <v>147</v>
      </c>
      <c r="B146">
        <v>14.1</v>
      </c>
    </row>
    <row r="147" spans="1:2" x14ac:dyDescent="0.25">
      <c r="A147" t="s">
        <v>148</v>
      </c>
      <c r="B147">
        <v>23.5</v>
      </c>
    </row>
    <row r="148" spans="1:2" x14ac:dyDescent="0.25">
      <c r="A148" t="s">
        <v>149</v>
      </c>
      <c r="B148">
        <v>4.8</v>
      </c>
    </row>
    <row r="149" spans="1:2" x14ac:dyDescent="0.25">
      <c r="A149" t="s">
        <v>150</v>
      </c>
      <c r="B149">
        <v>5.6</v>
      </c>
    </row>
    <row r="150" spans="1:2" x14ac:dyDescent="0.25">
      <c r="A150" t="s">
        <v>151</v>
      </c>
      <c r="B150">
        <v>4</v>
      </c>
    </row>
    <row r="151" spans="1:2" x14ac:dyDescent="0.25">
      <c r="A151" t="s">
        <v>152</v>
      </c>
      <c r="B151">
        <v>6.6</v>
      </c>
    </row>
    <row r="152" spans="1:2" x14ac:dyDescent="0.25">
      <c r="A152" t="s">
        <v>153</v>
      </c>
      <c r="B152">
        <v>8.8000000000000007</v>
      </c>
    </row>
    <row r="153" spans="1:2" x14ac:dyDescent="0.25">
      <c r="A153" t="s">
        <v>154</v>
      </c>
      <c r="B153">
        <v>7.4</v>
      </c>
    </row>
    <row r="154" spans="1:2" x14ac:dyDescent="0.25">
      <c r="A154" t="s">
        <v>155</v>
      </c>
      <c r="B154">
        <v>13.8</v>
      </c>
    </row>
    <row r="155" spans="1:2" x14ac:dyDescent="0.25">
      <c r="A155" t="s">
        <v>156</v>
      </c>
      <c r="B155">
        <v>9.1999999999999993</v>
      </c>
    </row>
    <row r="156" spans="1:2" x14ac:dyDescent="0.25">
      <c r="A156" t="s">
        <v>157</v>
      </c>
      <c r="B156">
        <v>5.9</v>
      </c>
    </row>
    <row r="157" spans="1:2" x14ac:dyDescent="0.25">
      <c r="A157" t="s">
        <v>158</v>
      </c>
      <c r="B157">
        <v>6.2</v>
      </c>
    </row>
    <row r="158" spans="1:2" x14ac:dyDescent="0.25">
      <c r="A158" t="s">
        <v>159</v>
      </c>
      <c r="B158">
        <v>5.4</v>
      </c>
    </row>
    <row r="159" spans="1:2" x14ac:dyDescent="0.25">
      <c r="A159" t="s">
        <v>160</v>
      </c>
      <c r="B159">
        <v>8.4</v>
      </c>
    </row>
    <row r="160" spans="1:2" x14ac:dyDescent="0.25">
      <c r="A160" t="s">
        <v>161</v>
      </c>
      <c r="B160">
        <v>8.1999999999999993</v>
      </c>
    </row>
    <row r="161" spans="1:2" x14ac:dyDescent="0.25">
      <c r="A161" t="s">
        <v>162</v>
      </c>
      <c r="B161">
        <v>4.8</v>
      </c>
    </row>
    <row r="162" spans="1:2" x14ac:dyDescent="0.25">
      <c r="A162" t="s">
        <v>163</v>
      </c>
      <c r="B162">
        <v>6.1</v>
      </c>
    </row>
    <row r="163" spans="1:2" x14ac:dyDescent="0.25">
      <c r="A163" t="s">
        <v>164</v>
      </c>
      <c r="B163">
        <v>13.3</v>
      </c>
    </row>
    <row r="164" spans="1:2" x14ac:dyDescent="0.25">
      <c r="A164" t="s">
        <v>165</v>
      </c>
      <c r="B164">
        <v>13.6</v>
      </c>
    </row>
    <row r="165" spans="1:2" x14ac:dyDescent="0.25">
      <c r="A165" t="s">
        <v>166</v>
      </c>
      <c r="B165">
        <v>6.4</v>
      </c>
    </row>
    <row r="166" spans="1:2" x14ac:dyDescent="0.25">
      <c r="A166" t="s">
        <v>167</v>
      </c>
      <c r="B166">
        <v>4.7</v>
      </c>
    </row>
    <row r="167" spans="1:2" x14ac:dyDescent="0.25">
      <c r="A167" t="s">
        <v>168</v>
      </c>
      <c r="B167">
        <v>30</v>
      </c>
    </row>
    <row r="168" spans="1:2" x14ac:dyDescent="0.25">
      <c r="A168" t="s">
        <v>169</v>
      </c>
      <c r="B168">
        <v>4.4000000000000004</v>
      </c>
    </row>
    <row r="169" spans="1:2" x14ac:dyDescent="0.25">
      <c r="A169" t="s">
        <v>170</v>
      </c>
      <c r="B169">
        <v>16.3</v>
      </c>
    </row>
    <row r="170" spans="1:2" x14ac:dyDescent="0.25">
      <c r="A170" t="s">
        <v>171</v>
      </c>
      <c r="B170">
        <v>6.1</v>
      </c>
    </row>
    <row r="171" spans="1:2" x14ac:dyDescent="0.25">
      <c r="A171" t="s">
        <v>172</v>
      </c>
      <c r="B171">
        <v>5.5</v>
      </c>
    </row>
    <row r="172" spans="1:2" x14ac:dyDescent="0.25">
      <c r="A172" t="s">
        <v>173</v>
      </c>
      <c r="B172">
        <v>9.6999999999999993</v>
      </c>
    </row>
    <row r="173" spans="1:2" x14ac:dyDescent="0.25">
      <c r="A173" t="s">
        <v>174</v>
      </c>
      <c r="B173">
        <v>5.8</v>
      </c>
    </row>
    <row r="174" spans="1:2" x14ac:dyDescent="0.25">
      <c r="A174" t="s">
        <v>175</v>
      </c>
      <c r="B174">
        <v>9</v>
      </c>
    </row>
    <row r="175" spans="1:2" x14ac:dyDescent="0.25">
      <c r="A175" t="s">
        <v>176</v>
      </c>
      <c r="B175">
        <v>51.429257736731032</v>
      </c>
    </row>
    <row r="176" spans="1:2" x14ac:dyDescent="0.25">
      <c r="A176" t="s">
        <v>177</v>
      </c>
      <c r="B176">
        <v>5</v>
      </c>
    </row>
    <row r="177" spans="1:2" x14ac:dyDescent="0.25">
      <c r="A177" t="s">
        <v>178</v>
      </c>
      <c r="B177">
        <v>4.8</v>
      </c>
    </row>
    <row r="178" spans="1:2" x14ac:dyDescent="0.25">
      <c r="A178" t="s">
        <v>179</v>
      </c>
      <c r="B178">
        <v>6.8</v>
      </c>
    </row>
    <row r="179" spans="1:2" x14ac:dyDescent="0.25">
      <c r="A179" t="s">
        <v>180</v>
      </c>
      <c r="B179">
        <v>48.4</v>
      </c>
    </row>
    <row r="180" spans="1:2" x14ac:dyDescent="0.25">
      <c r="A180" t="s">
        <v>181</v>
      </c>
      <c r="B180">
        <v>4.7</v>
      </c>
    </row>
    <row r="181" spans="1:2" x14ac:dyDescent="0.25">
      <c r="A181" t="s">
        <v>182</v>
      </c>
      <c r="B181">
        <v>9</v>
      </c>
    </row>
    <row r="182" spans="1:2" x14ac:dyDescent="0.25">
      <c r="A182" t="s">
        <v>183</v>
      </c>
      <c r="B182">
        <v>4.0999999999999996</v>
      </c>
    </row>
    <row r="183" spans="1:2" x14ac:dyDescent="0.25">
      <c r="A183" t="s">
        <v>184</v>
      </c>
      <c r="B183">
        <v>51.4</v>
      </c>
    </row>
    <row r="184" spans="1:2" x14ac:dyDescent="0.25">
      <c r="A184" t="s">
        <v>185</v>
      </c>
      <c r="B184">
        <v>28</v>
      </c>
    </row>
    <row r="185" spans="1:2" x14ac:dyDescent="0.25">
      <c r="A185" t="s">
        <v>186</v>
      </c>
      <c r="B185">
        <v>26.5</v>
      </c>
    </row>
    <row r="186" spans="1:2" x14ac:dyDescent="0.25">
      <c r="A186" t="s">
        <v>187</v>
      </c>
      <c r="B186">
        <v>8.3000000000000007</v>
      </c>
    </row>
    <row r="187" spans="1:2" x14ac:dyDescent="0.25">
      <c r="A187" t="s">
        <v>188</v>
      </c>
      <c r="B187">
        <v>12.9</v>
      </c>
    </row>
    <row r="188" spans="1:2" x14ac:dyDescent="0.25">
      <c r="A188" t="s">
        <v>189</v>
      </c>
      <c r="B188">
        <v>87.4</v>
      </c>
    </row>
    <row r="189" spans="1:2" x14ac:dyDescent="0.25">
      <c r="A189" t="s">
        <v>190</v>
      </c>
      <c r="B189">
        <v>34.076782410540631</v>
      </c>
    </row>
    <row r="190" spans="1:2" x14ac:dyDescent="0.25">
      <c r="A190" t="s">
        <v>191</v>
      </c>
      <c r="B190">
        <v>8.1999999999999993</v>
      </c>
    </row>
    <row r="191" spans="1:2" x14ac:dyDescent="0.25">
      <c r="A191" t="s">
        <v>192</v>
      </c>
      <c r="B191">
        <v>33.799999999999997</v>
      </c>
    </row>
    <row r="192" spans="1:2" x14ac:dyDescent="0.25">
      <c r="A192" t="s">
        <v>193</v>
      </c>
      <c r="B192">
        <v>30.9</v>
      </c>
    </row>
    <row r="193" spans="1:2" x14ac:dyDescent="0.25">
      <c r="A193" t="s">
        <v>195</v>
      </c>
      <c r="B193">
        <v>40.200000000000003</v>
      </c>
    </row>
    <row r="194" spans="1:2" x14ac:dyDescent="0.25">
      <c r="A194" t="s">
        <v>196</v>
      </c>
      <c r="B194">
        <v>30.5</v>
      </c>
    </row>
    <row r="195" spans="1:2" x14ac:dyDescent="0.25">
      <c r="A195" t="s">
        <v>197</v>
      </c>
      <c r="B195">
        <v>51.7</v>
      </c>
    </row>
    <row r="196" spans="1:2" x14ac:dyDescent="0.25">
      <c r="A196" t="s">
        <v>198</v>
      </c>
      <c r="B196">
        <v>42.8</v>
      </c>
    </row>
    <row r="197" spans="1:2" x14ac:dyDescent="0.25">
      <c r="A197" t="s">
        <v>199</v>
      </c>
      <c r="B197">
        <v>22.9</v>
      </c>
    </row>
    <row r="198" spans="1:2" x14ac:dyDescent="0.25">
      <c r="A198" t="s">
        <v>200</v>
      </c>
      <c r="B198">
        <v>100.1</v>
      </c>
    </row>
    <row r="199" spans="1:2" x14ac:dyDescent="0.25">
      <c r="A199" t="s">
        <v>201</v>
      </c>
      <c r="B199">
        <v>29.3</v>
      </c>
    </row>
    <row r="200" spans="1:2" x14ac:dyDescent="0.25">
      <c r="A200" t="s">
        <v>202</v>
      </c>
      <c r="B200">
        <v>50</v>
      </c>
    </row>
    <row r="201" spans="1:2" x14ac:dyDescent="0.25">
      <c r="A201" t="s">
        <v>203</v>
      </c>
      <c r="B201">
        <v>45.1</v>
      </c>
    </row>
    <row r="202" spans="1:2" x14ac:dyDescent="0.25">
      <c r="A202" t="s">
        <v>204</v>
      </c>
      <c r="B202">
        <v>32.700000000000003</v>
      </c>
    </row>
    <row r="203" spans="1:2" x14ac:dyDescent="0.25">
      <c r="A203" t="s">
        <v>205</v>
      </c>
      <c r="B203">
        <v>3.6</v>
      </c>
    </row>
    <row r="204" spans="1:2" x14ac:dyDescent="0.25">
      <c r="A204" t="s">
        <v>206</v>
      </c>
      <c r="B204">
        <v>100</v>
      </c>
    </row>
    <row r="205" spans="1:2" x14ac:dyDescent="0.25">
      <c r="A205" t="s">
        <v>207</v>
      </c>
      <c r="B205">
        <v>230</v>
      </c>
    </row>
    <row r="206" spans="1:2" x14ac:dyDescent="0.25">
      <c r="A206" t="s">
        <v>208</v>
      </c>
      <c r="B206">
        <v>44.9</v>
      </c>
    </row>
    <row r="207" spans="1:2" x14ac:dyDescent="0.25">
      <c r="A207" t="s">
        <v>209</v>
      </c>
      <c r="B207">
        <v>49.8</v>
      </c>
    </row>
    <row r="208" spans="1:2" x14ac:dyDescent="0.25">
      <c r="A208" t="s">
        <v>210</v>
      </c>
      <c r="B208">
        <v>13.1</v>
      </c>
    </row>
    <row r="209" spans="1:2" x14ac:dyDescent="0.25">
      <c r="A209" t="s">
        <v>211</v>
      </c>
      <c r="B209">
        <v>32.700000000000003</v>
      </c>
    </row>
    <row r="210" spans="1:2" x14ac:dyDescent="0.25">
      <c r="A210" t="s">
        <v>212</v>
      </c>
      <c r="B210">
        <v>17.899999999999999</v>
      </c>
    </row>
    <row r="211" spans="1:2" x14ac:dyDescent="0.25">
      <c r="A211" t="s">
        <v>213</v>
      </c>
      <c r="B211">
        <v>54.9</v>
      </c>
    </row>
    <row r="212" spans="1:2" x14ac:dyDescent="0.25">
      <c r="A212" t="s">
        <v>214</v>
      </c>
      <c r="B212">
        <v>30.5</v>
      </c>
    </row>
    <row r="213" spans="1:2" x14ac:dyDescent="0.25">
      <c r="A213" t="s">
        <v>215</v>
      </c>
      <c r="B213">
        <v>59.7</v>
      </c>
    </row>
    <row r="214" spans="1:2" x14ac:dyDescent="0.25">
      <c r="A214" t="s">
        <v>216</v>
      </c>
      <c r="B214">
        <v>18.3</v>
      </c>
    </row>
    <row r="215" spans="1:2" x14ac:dyDescent="0.25">
      <c r="A215" t="s">
        <v>217</v>
      </c>
      <c r="B215">
        <v>44.3</v>
      </c>
    </row>
    <row r="216" spans="1:2" x14ac:dyDescent="0.25">
      <c r="A216" t="s">
        <v>218</v>
      </c>
      <c r="B216">
        <v>105.7</v>
      </c>
    </row>
    <row r="217" spans="1:2" x14ac:dyDescent="0.25">
      <c r="A217" t="s">
        <v>219</v>
      </c>
      <c r="B217">
        <v>31.8</v>
      </c>
    </row>
    <row r="218" spans="1:2" x14ac:dyDescent="0.25">
      <c r="A218" t="s">
        <v>220</v>
      </c>
      <c r="B218">
        <v>29.6</v>
      </c>
    </row>
    <row r="219" spans="1:2" x14ac:dyDescent="0.25">
      <c r="A219" t="s">
        <v>221</v>
      </c>
      <c r="B219">
        <v>23.1</v>
      </c>
    </row>
    <row r="220" spans="1:2" x14ac:dyDescent="0.25">
      <c r="A220" t="s">
        <v>222</v>
      </c>
      <c r="B220">
        <v>51.5</v>
      </c>
    </row>
    <row r="221" spans="1:2" x14ac:dyDescent="0.25">
      <c r="A221" t="s">
        <v>223</v>
      </c>
      <c r="B221">
        <v>32.200000000000003</v>
      </c>
    </row>
    <row r="222" spans="1:2" x14ac:dyDescent="0.25">
      <c r="A222" t="s">
        <v>224</v>
      </c>
      <c r="B222">
        <v>3.2</v>
      </c>
    </row>
    <row r="223" spans="1:2" x14ac:dyDescent="0.25">
      <c r="A223" t="s">
        <v>225</v>
      </c>
      <c r="B223">
        <v>66.900000000000006</v>
      </c>
    </row>
    <row r="224" spans="1:2" x14ac:dyDescent="0.25">
      <c r="A224" t="s">
        <v>226</v>
      </c>
      <c r="B224">
        <v>30.9</v>
      </c>
    </row>
    <row r="225" spans="1:2" x14ac:dyDescent="0.25">
      <c r="A225" t="s">
        <v>227</v>
      </c>
      <c r="B225">
        <v>13.9</v>
      </c>
    </row>
    <row r="226" spans="1:2" x14ac:dyDescent="0.25">
      <c r="A226" t="s">
        <v>228</v>
      </c>
      <c r="B226">
        <v>53.9</v>
      </c>
    </row>
    <row r="227" spans="1:2" x14ac:dyDescent="0.25">
      <c r="A227" t="s">
        <v>229</v>
      </c>
      <c r="B227">
        <v>6.6</v>
      </c>
    </row>
    <row r="228" spans="1:2" x14ac:dyDescent="0.25">
      <c r="A228" t="s">
        <v>230</v>
      </c>
      <c r="B228">
        <v>16.8</v>
      </c>
    </row>
    <row r="229" spans="1:2" x14ac:dyDescent="0.25">
      <c r="A229" t="s">
        <v>231</v>
      </c>
      <c r="B229">
        <v>62.3</v>
      </c>
    </row>
    <row r="230" spans="1:2" x14ac:dyDescent="0.25">
      <c r="A230" t="s">
        <v>232</v>
      </c>
      <c r="B230">
        <v>11.2</v>
      </c>
    </row>
    <row r="231" spans="1:2" x14ac:dyDescent="0.25">
      <c r="A231" t="s">
        <v>233</v>
      </c>
      <c r="B231">
        <v>10.7</v>
      </c>
    </row>
    <row r="232" spans="1:2" x14ac:dyDescent="0.25">
      <c r="A232" t="s">
        <v>234</v>
      </c>
      <c r="B232">
        <v>100</v>
      </c>
    </row>
    <row r="233" spans="1:2" x14ac:dyDescent="0.25">
      <c r="A233" t="s">
        <v>235</v>
      </c>
      <c r="B233">
        <v>55.7</v>
      </c>
    </row>
    <row r="234" spans="1:2" x14ac:dyDescent="0.25">
      <c r="A234" t="s">
        <v>236</v>
      </c>
      <c r="B234">
        <v>43.2</v>
      </c>
    </row>
    <row r="235" spans="1:2" x14ac:dyDescent="0.25">
      <c r="A235" t="s">
        <v>237</v>
      </c>
      <c r="B235">
        <v>70</v>
      </c>
    </row>
    <row r="236" spans="1:2" x14ac:dyDescent="0.25">
      <c r="A236" t="s">
        <v>238</v>
      </c>
      <c r="B236">
        <v>47.8</v>
      </c>
    </row>
    <row r="237" spans="1:2" x14ac:dyDescent="0.25">
      <c r="A237" t="s">
        <v>239</v>
      </c>
      <c r="B237">
        <v>46.9</v>
      </c>
    </row>
    <row r="238" spans="1:2" x14ac:dyDescent="0.25">
      <c r="A238" t="s">
        <v>240</v>
      </c>
      <c r="B238">
        <v>100</v>
      </c>
    </row>
    <row r="239" spans="1:2" x14ac:dyDescent="0.25">
      <c r="A239" t="s">
        <v>241</v>
      </c>
      <c r="B239">
        <v>70</v>
      </c>
    </row>
    <row r="240" spans="1:2" x14ac:dyDescent="0.25">
      <c r="A240" t="s">
        <v>242</v>
      </c>
      <c r="B240">
        <v>90</v>
      </c>
    </row>
    <row r="241" spans="1:2" x14ac:dyDescent="0.25">
      <c r="A241" t="s">
        <v>243</v>
      </c>
      <c r="B241">
        <v>26.8</v>
      </c>
    </row>
    <row r="242" spans="1:2" x14ac:dyDescent="0.25">
      <c r="A242" t="s">
        <v>244</v>
      </c>
      <c r="B242">
        <v>70</v>
      </c>
    </row>
    <row r="243" spans="1:2" x14ac:dyDescent="0.25">
      <c r="A243" t="s">
        <v>724</v>
      </c>
      <c r="B243">
        <v>90</v>
      </c>
    </row>
    <row r="244" spans="1:2" x14ac:dyDescent="0.25">
      <c r="A244" t="s">
        <v>245</v>
      </c>
      <c r="B244">
        <v>53.3</v>
      </c>
    </row>
    <row r="245" spans="1:2" x14ac:dyDescent="0.25">
      <c r="A245" t="s">
        <v>246</v>
      </c>
      <c r="B245">
        <v>62</v>
      </c>
    </row>
    <row r="246" spans="1:2" x14ac:dyDescent="0.25">
      <c r="A246" t="s">
        <v>247</v>
      </c>
      <c r="B246">
        <v>18.899999999999999</v>
      </c>
    </row>
    <row r="247" spans="1:2" x14ac:dyDescent="0.25">
      <c r="A247" t="s">
        <v>248</v>
      </c>
      <c r="B247">
        <v>8</v>
      </c>
    </row>
    <row r="248" spans="1:2" x14ac:dyDescent="0.25">
      <c r="A248" t="s">
        <v>249</v>
      </c>
      <c r="B248">
        <v>70</v>
      </c>
    </row>
    <row r="249" spans="1:2" x14ac:dyDescent="0.25">
      <c r="A249" t="s">
        <v>250</v>
      </c>
      <c r="B249">
        <v>33.799999999999997</v>
      </c>
    </row>
    <row r="250" spans="1:2" x14ac:dyDescent="0.25">
      <c r="A250" t="s">
        <v>251</v>
      </c>
      <c r="B250">
        <v>90</v>
      </c>
    </row>
    <row r="251" spans="1:2" x14ac:dyDescent="0.25">
      <c r="A251" t="s">
        <v>252</v>
      </c>
      <c r="B251">
        <v>80</v>
      </c>
    </row>
    <row r="252" spans="1:2" x14ac:dyDescent="0.25">
      <c r="A252" t="s">
        <v>725</v>
      </c>
      <c r="B252">
        <v>70</v>
      </c>
    </row>
    <row r="253" spans="1:2" x14ac:dyDescent="0.25">
      <c r="A253" t="s">
        <v>253</v>
      </c>
      <c r="B253">
        <v>63.5</v>
      </c>
    </row>
    <row r="254" spans="1:2" x14ac:dyDescent="0.25">
      <c r="A254" t="s">
        <v>254</v>
      </c>
      <c r="B254">
        <v>90</v>
      </c>
    </row>
    <row r="255" spans="1:2" x14ac:dyDescent="0.25">
      <c r="A255" t="s">
        <v>255</v>
      </c>
      <c r="B255">
        <v>31.7</v>
      </c>
    </row>
    <row r="256" spans="1:2" x14ac:dyDescent="0.25">
      <c r="A256" t="s">
        <v>256</v>
      </c>
      <c r="B256">
        <v>77</v>
      </c>
    </row>
    <row r="257" spans="1:2" x14ac:dyDescent="0.25">
      <c r="A257" t="s">
        <v>257</v>
      </c>
      <c r="B257">
        <v>96.7</v>
      </c>
    </row>
    <row r="258" spans="1:2" x14ac:dyDescent="0.25">
      <c r="A258" t="s">
        <v>258</v>
      </c>
      <c r="B258">
        <v>41.5</v>
      </c>
    </row>
    <row r="259" spans="1:2" x14ac:dyDescent="0.25">
      <c r="A259" t="s">
        <v>259</v>
      </c>
      <c r="B259">
        <v>1.2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0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0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0</v>
      </c>
    </row>
    <row r="293" spans="1:2" x14ac:dyDescent="0.25">
      <c r="A293" t="s">
        <v>293</v>
      </c>
      <c r="B293">
        <v>0</v>
      </c>
    </row>
    <row r="294" spans="1:2" x14ac:dyDescent="0.25">
      <c r="A294" t="s">
        <v>294</v>
      </c>
      <c r="B294">
        <v>0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0</v>
      </c>
    </row>
    <row r="298" spans="1:2" x14ac:dyDescent="0.25">
      <c r="A298" t="s">
        <v>298</v>
      </c>
      <c r="B298">
        <v>0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0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0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0</v>
      </c>
    </row>
    <row r="306" spans="1:2" x14ac:dyDescent="0.25">
      <c r="A306" t="s">
        <v>306</v>
      </c>
      <c r="B306">
        <v>0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0</v>
      </c>
    </row>
    <row r="310" spans="1:2" x14ac:dyDescent="0.25">
      <c r="A310" t="s">
        <v>310</v>
      </c>
      <c r="B310">
        <v>0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0</v>
      </c>
    </row>
    <row r="313" spans="1:2" x14ac:dyDescent="0.25">
      <c r="A313" t="s">
        <v>313</v>
      </c>
      <c r="B313">
        <v>0</v>
      </c>
    </row>
    <row r="314" spans="1:2" x14ac:dyDescent="0.25">
      <c r="A314" t="s">
        <v>314</v>
      </c>
      <c r="B314">
        <v>0</v>
      </c>
    </row>
    <row r="315" spans="1:2" x14ac:dyDescent="0.25">
      <c r="A315" t="s">
        <v>315</v>
      </c>
      <c r="B315">
        <v>0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0</v>
      </c>
    </row>
    <row r="318" spans="1:2" x14ac:dyDescent="0.25">
      <c r="A318" t="s">
        <v>318</v>
      </c>
      <c r="B318">
        <v>0</v>
      </c>
    </row>
    <row r="319" spans="1:2" x14ac:dyDescent="0.25">
      <c r="A319" t="s">
        <v>319</v>
      </c>
      <c r="B319">
        <v>0</v>
      </c>
    </row>
    <row r="320" spans="1:2" x14ac:dyDescent="0.25">
      <c r="A320" t="s">
        <v>320</v>
      </c>
      <c r="B320">
        <v>0</v>
      </c>
    </row>
    <row r="321" spans="1:2" x14ac:dyDescent="0.25">
      <c r="A321" t="s">
        <v>321</v>
      </c>
      <c r="B321">
        <v>0</v>
      </c>
    </row>
    <row r="322" spans="1:2" x14ac:dyDescent="0.25">
      <c r="A322" t="s">
        <v>322</v>
      </c>
      <c r="B322">
        <v>0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0</v>
      </c>
    </row>
    <row r="326" spans="1:2" x14ac:dyDescent="0.25">
      <c r="A326" t="s">
        <v>326</v>
      </c>
      <c r="B326">
        <v>0</v>
      </c>
    </row>
    <row r="327" spans="1:2" x14ac:dyDescent="0.25">
      <c r="A327" t="s">
        <v>327</v>
      </c>
      <c r="B327">
        <v>0</v>
      </c>
    </row>
    <row r="328" spans="1:2" x14ac:dyDescent="0.25">
      <c r="A328" t="s">
        <v>328</v>
      </c>
      <c r="B328">
        <v>0</v>
      </c>
    </row>
    <row r="329" spans="1:2" x14ac:dyDescent="0.25">
      <c r="A329" t="s">
        <v>329</v>
      </c>
      <c r="B329">
        <v>0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0</v>
      </c>
    </row>
    <row r="332" spans="1:2" x14ac:dyDescent="0.25">
      <c r="A332" t="s">
        <v>332</v>
      </c>
      <c r="B332">
        <v>0</v>
      </c>
    </row>
    <row r="333" spans="1:2" x14ac:dyDescent="0.25">
      <c r="A333" t="s">
        <v>333</v>
      </c>
      <c r="B333">
        <v>0</v>
      </c>
    </row>
    <row r="334" spans="1:2" x14ac:dyDescent="0.25">
      <c r="A334" t="s">
        <v>334</v>
      </c>
      <c r="B334">
        <v>0</v>
      </c>
    </row>
    <row r="335" spans="1:2" x14ac:dyDescent="0.25">
      <c r="A335" t="s">
        <v>335</v>
      </c>
      <c r="B335">
        <v>0</v>
      </c>
    </row>
    <row r="336" spans="1:2" x14ac:dyDescent="0.25">
      <c r="A336" t="s">
        <v>336</v>
      </c>
      <c r="B336">
        <v>0</v>
      </c>
    </row>
    <row r="337" spans="1:2" x14ac:dyDescent="0.25">
      <c r="A337" t="s">
        <v>337</v>
      </c>
      <c r="B337">
        <v>0</v>
      </c>
    </row>
    <row r="338" spans="1:2" x14ac:dyDescent="0.25">
      <c r="A338" t="s">
        <v>338</v>
      </c>
      <c r="B338">
        <v>0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0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0</v>
      </c>
    </row>
    <row r="344" spans="1:2" x14ac:dyDescent="0.25">
      <c r="A344" t="s">
        <v>344</v>
      </c>
      <c r="B344">
        <v>0</v>
      </c>
    </row>
    <row r="345" spans="1:2" x14ac:dyDescent="0.25">
      <c r="A345" t="s">
        <v>345</v>
      </c>
      <c r="B345">
        <v>0</v>
      </c>
    </row>
    <row r="346" spans="1:2" x14ac:dyDescent="0.25">
      <c r="A346" t="s">
        <v>346</v>
      </c>
      <c r="B346">
        <v>0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0</v>
      </c>
    </row>
    <row r="349" spans="1:2" x14ac:dyDescent="0.25">
      <c r="A349" t="s">
        <v>349</v>
      </c>
      <c r="B349">
        <v>0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0</v>
      </c>
    </row>
    <row r="352" spans="1:2" x14ac:dyDescent="0.25">
      <c r="A352" t="s">
        <v>352</v>
      </c>
      <c r="B352">
        <v>0</v>
      </c>
    </row>
    <row r="353" spans="1:2" x14ac:dyDescent="0.25">
      <c r="A353" t="s">
        <v>353</v>
      </c>
      <c r="B353">
        <v>0</v>
      </c>
    </row>
    <row r="354" spans="1:2" x14ac:dyDescent="0.25">
      <c r="A354" t="s">
        <v>354</v>
      </c>
      <c r="B354">
        <v>0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0</v>
      </c>
    </row>
    <row r="358" spans="1:2" x14ac:dyDescent="0.25">
      <c r="A358" t="s">
        <v>358</v>
      </c>
      <c r="B358">
        <v>0</v>
      </c>
    </row>
    <row r="359" spans="1:2" x14ac:dyDescent="0.25">
      <c r="A359" t="s">
        <v>359</v>
      </c>
      <c r="B359">
        <v>0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0</v>
      </c>
    </row>
    <row r="362" spans="1:2" x14ac:dyDescent="0.25">
      <c r="A362" t="s">
        <v>362</v>
      </c>
      <c r="B362">
        <v>0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0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366</v>
      </c>
      <c r="B366">
        <v>0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0</v>
      </c>
    </row>
    <row r="369" spans="1:2" x14ac:dyDescent="0.25">
      <c r="A369" t="s">
        <v>369</v>
      </c>
      <c r="B369">
        <v>0</v>
      </c>
    </row>
    <row r="370" spans="1:2" x14ac:dyDescent="0.25">
      <c r="A370" t="s">
        <v>370</v>
      </c>
      <c r="B370">
        <v>0</v>
      </c>
    </row>
    <row r="371" spans="1:2" x14ac:dyDescent="0.25">
      <c r="A371" t="s">
        <v>371</v>
      </c>
      <c r="B371">
        <v>0</v>
      </c>
    </row>
    <row r="372" spans="1:2" x14ac:dyDescent="0.25">
      <c r="A372" t="s">
        <v>372</v>
      </c>
      <c r="B372">
        <v>0</v>
      </c>
    </row>
    <row r="373" spans="1:2" x14ac:dyDescent="0.25">
      <c r="A373" t="s">
        <v>373</v>
      </c>
      <c r="B373">
        <v>0</v>
      </c>
    </row>
    <row r="374" spans="1:2" x14ac:dyDescent="0.25">
      <c r="A374" t="s">
        <v>374</v>
      </c>
      <c r="B374">
        <v>0</v>
      </c>
    </row>
    <row r="375" spans="1:2" x14ac:dyDescent="0.25">
      <c r="A375" t="s">
        <v>375</v>
      </c>
      <c r="B375">
        <v>0</v>
      </c>
    </row>
    <row r="376" spans="1:2" x14ac:dyDescent="0.25">
      <c r="A376" t="s">
        <v>376</v>
      </c>
      <c r="B376">
        <v>0</v>
      </c>
    </row>
    <row r="377" spans="1:2" x14ac:dyDescent="0.25">
      <c r="A377" t="s">
        <v>377</v>
      </c>
      <c r="B377">
        <v>0</v>
      </c>
    </row>
    <row r="378" spans="1:2" x14ac:dyDescent="0.25">
      <c r="A378" t="s">
        <v>378</v>
      </c>
      <c r="B378">
        <v>0</v>
      </c>
    </row>
    <row r="379" spans="1:2" x14ac:dyDescent="0.25">
      <c r="A379" t="s">
        <v>379</v>
      </c>
      <c r="B379">
        <v>0</v>
      </c>
    </row>
    <row r="380" spans="1:2" x14ac:dyDescent="0.25">
      <c r="A380" t="s">
        <v>380</v>
      </c>
      <c r="B380">
        <v>0</v>
      </c>
    </row>
    <row r="381" spans="1:2" x14ac:dyDescent="0.25">
      <c r="A381" t="s">
        <v>381</v>
      </c>
      <c r="B381">
        <v>0</v>
      </c>
    </row>
    <row r="382" spans="1:2" x14ac:dyDescent="0.25">
      <c r="A382" t="s">
        <v>382</v>
      </c>
      <c r="B382">
        <v>0</v>
      </c>
    </row>
    <row r="383" spans="1:2" x14ac:dyDescent="0.25">
      <c r="A383" t="s">
        <v>383</v>
      </c>
      <c r="B383">
        <v>0</v>
      </c>
    </row>
    <row r="384" spans="1:2" x14ac:dyDescent="0.25">
      <c r="A384" t="s">
        <v>384</v>
      </c>
      <c r="B384">
        <v>0</v>
      </c>
    </row>
    <row r="385" spans="1:2" x14ac:dyDescent="0.25">
      <c r="A385" t="s">
        <v>385</v>
      </c>
      <c r="B385">
        <v>0</v>
      </c>
    </row>
    <row r="386" spans="1:2" x14ac:dyDescent="0.25">
      <c r="A386" t="s">
        <v>386</v>
      </c>
      <c r="B386">
        <v>0</v>
      </c>
    </row>
    <row r="387" spans="1:2" x14ac:dyDescent="0.25">
      <c r="A387" t="s">
        <v>387</v>
      </c>
      <c r="B387">
        <v>0</v>
      </c>
    </row>
    <row r="388" spans="1:2" x14ac:dyDescent="0.25">
      <c r="A388" t="s">
        <v>388</v>
      </c>
      <c r="B388">
        <v>0</v>
      </c>
    </row>
    <row r="389" spans="1:2" x14ac:dyDescent="0.25">
      <c r="A389" t="s">
        <v>389</v>
      </c>
      <c r="B389">
        <v>0</v>
      </c>
    </row>
    <row r="390" spans="1:2" x14ac:dyDescent="0.25">
      <c r="A390" t="s">
        <v>390</v>
      </c>
      <c r="B390">
        <v>0</v>
      </c>
    </row>
    <row r="391" spans="1:2" x14ac:dyDescent="0.25">
      <c r="A391" t="s">
        <v>391</v>
      </c>
      <c r="B391">
        <v>0</v>
      </c>
    </row>
    <row r="392" spans="1:2" x14ac:dyDescent="0.25">
      <c r="A392" t="s">
        <v>392</v>
      </c>
      <c r="B392">
        <v>0</v>
      </c>
    </row>
    <row r="393" spans="1:2" x14ac:dyDescent="0.25">
      <c r="A393" t="s">
        <v>393</v>
      </c>
      <c r="B393">
        <v>0</v>
      </c>
    </row>
    <row r="394" spans="1:2" x14ac:dyDescent="0.25">
      <c r="A394" t="s">
        <v>394</v>
      </c>
      <c r="B394">
        <v>0</v>
      </c>
    </row>
    <row r="395" spans="1:2" x14ac:dyDescent="0.25">
      <c r="A395" t="s">
        <v>395</v>
      </c>
      <c r="B395">
        <v>0</v>
      </c>
    </row>
    <row r="396" spans="1:2" x14ac:dyDescent="0.25">
      <c r="A396" t="s">
        <v>396</v>
      </c>
      <c r="B396">
        <v>0</v>
      </c>
    </row>
    <row r="397" spans="1:2" x14ac:dyDescent="0.25">
      <c r="A397" t="s">
        <v>397</v>
      </c>
      <c r="B397">
        <v>0</v>
      </c>
    </row>
    <row r="398" spans="1:2" x14ac:dyDescent="0.25">
      <c r="A398" t="s">
        <v>398</v>
      </c>
      <c r="B398">
        <v>0</v>
      </c>
    </row>
    <row r="399" spans="1:2" x14ac:dyDescent="0.25">
      <c r="A399" t="s">
        <v>399</v>
      </c>
      <c r="B399">
        <v>0</v>
      </c>
    </row>
    <row r="400" spans="1:2" x14ac:dyDescent="0.25">
      <c r="A400" t="s">
        <v>400</v>
      </c>
      <c r="B400">
        <v>0</v>
      </c>
    </row>
    <row r="401" spans="1:2" x14ac:dyDescent="0.25">
      <c r="A401" t="s">
        <v>401</v>
      </c>
      <c r="B401">
        <v>0</v>
      </c>
    </row>
    <row r="402" spans="1:2" x14ac:dyDescent="0.25">
      <c r="A402" t="s">
        <v>402</v>
      </c>
      <c r="B402">
        <v>0</v>
      </c>
    </row>
    <row r="403" spans="1:2" x14ac:dyDescent="0.25">
      <c r="A403" t="s">
        <v>403</v>
      </c>
      <c r="B403">
        <v>0</v>
      </c>
    </row>
    <row r="404" spans="1:2" x14ac:dyDescent="0.25">
      <c r="A404" t="s">
        <v>404</v>
      </c>
      <c r="B404">
        <v>0</v>
      </c>
    </row>
    <row r="405" spans="1:2" x14ac:dyDescent="0.25">
      <c r="A405" t="s">
        <v>405</v>
      </c>
      <c r="B405">
        <v>0</v>
      </c>
    </row>
    <row r="406" spans="1:2" x14ac:dyDescent="0.25">
      <c r="A406" t="s">
        <v>406</v>
      </c>
      <c r="B406">
        <v>0</v>
      </c>
    </row>
    <row r="407" spans="1:2" x14ac:dyDescent="0.25">
      <c r="A407" t="s">
        <v>407</v>
      </c>
      <c r="B407">
        <v>0</v>
      </c>
    </row>
    <row r="408" spans="1:2" x14ac:dyDescent="0.25">
      <c r="A408" t="s">
        <v>408</v>
      </c>
      <c r="B408">
        <v>0</v>
      </c>
    </row>
    <row r="409" spans="1:2" x14ac:dyDescent="0.25">
      <c r="A409" t="s">
        <v>409</v>
      </c>
      <c r="B409">
        <v>0</v>
      </c>
    </row>
    <row r="410" spans="1:2" x14ac:dyDescent="0.25">
      <c r="A410" t="s">
        <v>410</v>
      </c>
      <c r="B410">
        <v>0</v>
      </c>
    </row>
    <row r="411" spans="1:2" x14ac:dyDescent="0.25">
      <c r="A411" t="s">
        <v>411</v>
      </c>
      <c r="B411">
        <v>0</v>
      </c>
    </row>
    <row r="412" spans="1:2" x14ac:dyDescent="0.25">
      <c r="A412" t="s">
        <v>412</v>
      </c>
      <c r="B412">
        <v>0</v>
      </c>
    </row>
    <row r="413" spans="1:2" x14ac:dyDescent="0.25">
      <c r="A413" t="s">
        <v>413</v>
      </c>
      <c r="B413">
        <v>0</v>
      </c>
    </row>
    <row r="414" spans="1:2" x14ac:dyDescent="0.25">
      <c r="A414" t="s">
        <v>414</v>
      </c>
      <c r="B414">
        <v>0</v>
      </c>
    </row>
    <row r="415" spans="1:2" x14ac:dyDescent="0.25">
      <c r="A415" t="s">
        <v>415</v>
      </c>
      <c r="B415">
        <v>0</v>
      </c>
    </row>
    <row r="416" spans="1:2" x14ac:dyDescent="0.25">
      <c r="A416" t="s">
        <v>416</v>
      </c>
      <c r="B416">
        <v>0</v>
      </c>
    </row>
    <row r="417" spans="1:2" x14ac:dyDescent="0.25">
      <c r="A417" t="s">
        <v>417</v>
      </c>
      <c r="B417">
        <v>0</v>
      </c>
    </row>
    <row r="418" spans="1:2" x14ac:dyDescent="0.25">
      <c r="A418" t="s">
        <v>418</v>
      </c>
      <c r="B418">
        <v>0</v>
      </c>
    </row>
    <row r="419" spans="1:2" x14ac:dyDescent="0.25">
      <c r="A419" t="s">
        <v>419</v>
      </c>
      <c r="B419">
        <v>0</v>
      </c>
    </row>
    <row r="420" spans="1:2" x14ac:dyDescent="0.25">
      <c r="A420" t="s">
        <v>420</v>
      </c>
      <c r="B420">
        <v>0</v>
      </c>
    </row>
    <row r="421" spans="1:2" x14ac:dyDescent="0.25">
      <c r="A421" t="s">
        <v>421</v>
      </c>
      <c r="B421">
        <v>0</v>
      </c>
    </row>
    <row r="422" spans="1:2" x14ac:dyDescent="0.25">
      <c r="A422" t="s">
        <v>422</v>
      </c>
      <c r="B422">
        <v>0</v>
      </c>
    </row>
    <row r="423" spans="1:2" x14ac:dyDescent="0.25">
      <c r="A423" t="s">
        <v>423</v>
      </c>
      <c r="B423">
        <v>0</v>
      </c>
    </row>
    <row r="424" spans="1:2" x14ac:dyDescent="0.25">
      <c r="A424" t="s">
        <v>424</v>
      </c>
      <c r="B424">
        <v>0</v>
      </c>
    </row>
    <row r="425" spans="1:2" x14ac:dyDescent="0.25">
      <c r="A425" t="s">
        <v>425</v>
      </c>
      <c r="B425">
        <v>0</v>
      </c>
    </row>
    <row r="426" spans="1:2" x14ac:dyDescent="0.25">
      <c r="A426" t="s">
        <v>426</v>
      </c>
      <c r="B426">
        <v>0</v>
      </c>
    </row>
    <row r="427" spans="1:2" x14ac:dyDescent="0.25">
      <c r="A427" t="s">
        <v>427</v>
      </c>
      <c r="B427">
        <v>0</v>
      </c>
    </row>
    <row r="428" spans="1:2" x14ac:dyDescent="0.25">
      <c r="A428" t="s">
        <v>428</v>
      </c>
      <c r="B428">
        <v>0</v>
      </c>
    </row>
    <row r="429" spans="1:2" x14ac:dyDescent="0.25">
      <c r="A429" t="s">
        <v>429</v>
      </c>
      <c r="B429">
        <v>0</v>
      </c>
    </row>
    <row r="430" spans="1:2" x14ac:dyDescent="0.25">
      <c r="A430" t="s">
        <v>430</v>
      </c>
      <c r="B430">
        <v>0</v>
      </c>
    </row>
    <row r="431" spans="1:2" x14ac:dyDescent="0.25">
      <c r="A431" t="s">
        <v>431</v>
      </c>
      <c r="B431">
        <v>0</v>
      </c>
    </row>
    <row r="432" spans="1:2" x14ac:dyDescent="0.25">
      <c r="A432" t="s">
        <v>432</v>
      </c>
      <c r="B432">
        <v>0</v>
      </c>
    </row>
    <row r="433" spans="1:2" x14ac:dyDescent="0.25">
      <c r="A433" t="s">
        <v>433</v>
      </c>
      <c r="B433">
        <v>0</v>
      </c>
    </row>
    <row r="434" spans="1:2" x14ac:dyDescent="0.25">
      <c r="A434" t="s">
        <v>434</v>
      </c>
      <c r="B434">
        <v>0</v>
      </c>
    </row>
    <row r="435" spans="1:2" x14ac:dyDescent="0.25">
      <c r="A435" t="s">
        <v>435</v>
      </c>
      <c r="B435">
        <v>0</v>
      </c>
    </row>
    <row r="436" spans="1:2" x14ac:dyDescent="0.25">
      <c r="A436" t="s">
        <v>436</v>
      </c>
      <c r="B436">
        <v>0</v>
      </c>
    </row>
    <row r="437" spans="1:2" x14ac:dyDescent="0.25">
      <c r="A437" t="s">
        <v>437</v>
      </c>
      <c r="B437">
        <v>0</v>
      </c>
    </row>
    <row r="438" spans="1:2" x14ac:dyDescent="0.25">
      <c r="A438" t="s">
        <v>438</v>
      </c>
      <c r="B438">
        <v>0</v>
      </c>
    </row>
    <row r="439" spans="1:2" x14ac:dyDescent="0.25">
      <c r="A439" t="s">
        <v>439</v>
      </c>
      <c r="B439">
        <v>0</v>
      </c>
    </row>
    <row r="440" spans="1:2" x14ac:dyDescent="0.25">
      <c r="A440" t="s">
        <v>440</v>
      </c>
      <c r="B440">
        <v>0</v>
      </c>
    </row>
    <row r="441" spans="1:2" x14ac:dyDescent="0.25">
      <c r="A441" t="s">
        <v>441</v>
      </c>
      <c r="B441">
        <v>0</v>
      </c>
    </row>
    <row r="442" spans="1:2" x14ac:dyDescent="0.25">
      <c r="A442" t="s">
        <v>442</v>
      </c>
      <c r="B442">
        <v>0</v>
      </c>
    </row>
    <row r="443" spans="1:2" x14ac:dyDescent="0.25">
      <c r="A443" t="s">
        <v>443</v>
      </c>
      <c r="B443">
        <v>0</v>
      </c>
    </row>
    <row r="444" spans="1:2" x14ac:dyDescent="0.25">
      <c r="A444" t="s">
        <v>444</v>
      </c>
      <c r="B444">
        <v>0</v>
      </c>
    </row>
    <row r="445" spans="1:2" x14ac:dyDescent="0.25">
      <c r="A445" t="s">
        <v>445</v>
      </c>
      <c r="B445">
        <v>0</v>
      </c>
    </row>
    <row r="446" spans="1:2" x14ac:dyDescent="0.25">
      <c r="A446" t="s">
        <v>446</v>
      </c>
      <c r="B446">
        <v>0</v>
      </c>
    </row>
    <row r="447" spans="1:2" x14ac:dyDescent="0.25">
      <c r="A447" t="s">
        <v>447</v>
      </c>
      <c r="B447">
        <v>0</v>
      </c>
    </row>
    <row r="448" spans="1:2" x14ac:dyDescent="0.25">
      <c r="A448" t="s">
        <v>448</v>
      </c>
      <c r="B448">
        <v>0</v>
      </c>
    </row>
    <row r="449" spans="1:2" x14ac:dyDescent="0.25">
      <c r="A449" t="s">
        <v>449</v>
      </c>
      <c r="B449">
        <v>0</v>
      </c>
    </row>
    <row r="450" spans="1:2" x14ac:dyDescent="0.25">
      <c r="A450" t="s">
        <v>450</v>
      </c>
      <c r="B450">
        <v>0</v>
      </c>
    </row>
    <row r="451" spans="1:2" x14ac:dyDescent="0.25">
      <c r="A451" t="s">
        <v>451</v>
      </c>
      <c r="B451">
        <v>0</v>
      </c>
    </row>
    <row r="452" spans="1:2" x14ac:dyDescent="0.25">
      <c r="A452" t="s">
        <v>452</v>
      </c>
      <c r="B452">
        <v>0</v>
      </c>
    </row>
    <row r="453" spans="1:2" x14ac:dyDescent="0.25">
      <c r="A453" t="s">
        <v>453</v>
      </c>
      <c r="B453">
        <v>0</v>
      </c>
    </row>
    <row r="454" spans="1:2" x14ac:dyDescent="0.25">
      <c r="A454" t="s">
        <v>454</v>
      </c>
      <c r="B454">
        <v>0</v>
      </c>
    </row>
    <row r="455" spans="1:2" x14ac:dyDescent="0.25">
      <c r="A455" t="s">
        <v>455</v>
      </c>
      <c r="B455">
        <v>0</v>
      </c>
    </row>
    <row r="456" spans="1:2" x14ac:dyDescent="0.25">
      <c r="A456" t="s">
        <v>456</v>
      </c>
      <c r="B456">
        <v>0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0</v>
      </c>
    </row>
    <row r="459" spans="1:2" x14ac:dyDescent="0.25">
      <c r="A459" t="s">
        <v>459</v>
      </c>
      <c r="B459">
        <v>0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0</v>
      </c>
    </row>
    <row r="462" spans="1:2" x14ac:dyDescent="0.25">
      <c r="A462" t="s">
        <v>462</v>
      </c>
      <c r="B462">
        <v>0</v>
      </c>
    </row>
    <row r="463" spans="1:2" x14ac:dyDescent="0.25">
      <c r="A463" t="s">
        <v>463</v>
      </c>
      <c r="B463">
        <v>0</v>
      </c>
    </row>
    <row r="464" spans="1:2" x14ac:dyDescent="0.25">
      <c r="A464" t="s">
        <v>464</v>
      </c>
      <c r="B464">
        <v>0</v>
      </c>
    </row>
    <row r="465" spans="1:2" x14ac:dyDescent="0.25">
      <c r="A465" t="s">
        <v>465</v>
      </c>
      <c r="B465">
        <v>0</v>
      </c>
    </row>
    <row r="466" spans="1:2" x14ac:dyDescent="0.25">
      <c r="A466" t="s">
        <v>466</v>
      </c>
      <c r="B466">
        <v>0</v>
      </c>
    </row>
    <row r="467" spans="1:2" x14ac:dyDescent="0.25">
      <c r="A467" t="s">
        <v>467</v>
      </c>
      <c r="B467">
        <v>0</v>
      </c>
    </row>
    <row r="468" spans="1:2" x14ac:dyDescent="0.25">
      <c r="A468" t="s">
        <v>468</v>
      </c>
      <c r="B468">
        <v>0</v>
      </c>
    </row>
    <row r="469" spans="1:2" x14ac:dyDescent="0.25">
      <c r="A469" t="s">
        <v>469</v>
      </c>
      <c r="B469">
        <v>0</v>
      </c>
    </row>
    <row r="470" spans="1:2" x14ac:dyDescent="0.25">
      <c r="A470" t="s">
        <v>470</v>
      </c>
      <c r="B470">
        <v>0</v>
      </c>
    </row>
    <row r="471" spans="1:2" x14ac:dyDescent="0.25">
      <c r="A471" t="s">
        <v>471</v>
      </c>
      <c r="B471">
        <v>0</v>
      </c>
    </row>
    <row r="472" spans="1:2" x14ac:dyDescent="0.25">
      <c r="A472" t="s">
        <v>472</v>
      </c>
      <c r="B472">
        <v>0</v>
      </c>
    </row>
    <row r="473" spans="1:2" x14ac:dyDescent="0.25">
      <c r="A473" t="s">
        <v>473</v>
      </c>
      <c r="B473">
        <v>0</v>
      </c>
    </row>
    <row r="474" spans="1:2" x14ac:dyDescent="0.25">
      <c r="A474" t="s">
        <v>474</v>
      </c>
      <c r="B474">
        <v>0</v>
      </c>
    </row>
    <row r="475" spans="1:2" x14ac:dyDescent="0.25">
      <c r="A475" t="s">
        <v>475</v>
      </c>
      <c r="B475">
        <v>0</v>
      </c>
    </row>
    <row r="476" spans="1:2" x14ac:dyDescent="0.25">
      <c r="A476" t="s">
        <v>476</v>
      </c>
      <c r="B476">
        <v>89.443676320085473</v>
      </c>
    </row>
    <row r="477" spans="1:2" x14ac:dyDescent="0.25">
      <c r="A477" t="s">
        <v>477</v>
      </c>
      <c r="B477">
        <v>0</v>
      </c>
    </row>
    <row r="478" spans="1:2" x14ac:dyDescent="0.25">
      <c r="A478" t="s">
        <v>478</v>
      </c>
      <c r="B478">
        <v>0</v>
      </c>
    </row>
    <row r="479" spans="1:2" x14ac:dyDescent="0.25">
      <c r="A479" t="s">
        <v>479</v>
      </c>
      <c r="B479">
        <v>78.934043739158454</v>
      </c>
    </row>
    <row r="480" spans="1:2" x14ac:dyDescent="0.25">
      <c r="A480" t="s">
        <v>695</v>
      </c>
      <c r="B480">
        <v>0</v>
      </c>
    </row>
    <row r="481" spans="1:2" x14ac:dyDescent="0.25">
      <c r="A481" t="s">
        <v>480</v>
      </c>
      <c r="B481">
        <v>0</v>
      </c>
    </row>
    <row r="482" spans="1:2" x14ac:dyDescent="0.25">
      <c r="A482" t="s">
        <v>481</v>
      </c>
      <c r="B482">
        <v>0</v>
      </c>
    </row>
    <row r="483" spans="1:2" x14ac:dyDescent="0.25">
      <c r="A483" t="s">
        <v>482</v>
      </c>
      <c r="B483">
        <v>0</v>
      </c>
    </row>
    <row r="484" spans="1:2" x14ac:dyDescent="0.25">
      <c r="A484" t="s">
        <v>483</v>
      </c>
      <c r="B484">
        <v>0</v>
      </c>
    </row>
    <row r="485" spans="1:2" x14ac:dyDescent="0.25">
      <c r="A485" t="s">
        <v>484</v>
      </c>
      <c r="B485">
        <v>0</v>
      </c>
    </row>
    <row r="486" spans="1:2" x14ac:dyDescent="0.25">
      <c r="A486" t="s">
        <v>694</v>
      </c>
      <c r="B486">
        <v>0</v>
      </c>
    </row>
    <row r="487" spans="1:2" x14ac:dyDescent="0.25">
      <c r="A487" t="s">
        <v>485</v>
      </c>
      <c r="B487">
        <v>0</v>
      </c>
    </row>
    <row r="488" spans="1:2" x14ac:dyDescent="0.25">
      <c r="A488" t="s">
        <v>486</v>
      </c>
      <c r="B488">
        <v>0</v>
      </c>
    </row>
    <row r="489" spans="1:2" x14ac:dyDescent="0.25">
      <c r="A489" t="s">
        <v>487</v>
      </c>
      <c r="B489">
        <v>0</v>
      </c>
    </row>
    <row r="490" spans="1:2" x14ac:dyDescent="0.25">
      <c r="A490" t="s">
        <v>488</v>
      </c>
      <c r="B490">
        <v>0</v>
      </c>
    </row>
    <row r="491" spans="1:2" x14ac:dyDescent="0.25">
      <c r="A491" t="s">
        <v>489</v>
      </c>
      <c r="B491">
        <v>0</v>
      </c>
    </row>
    <row r="492" spans="1:2" x14ac:dyDescent="0.25">
      <c r="A492" t="s">
        <v>490</v>
      </c>
      <c r="B492">
        <v>0</v>
      </c>
    </row>
    <row r="493" spans="1:2" x14ac:dyDescent="0.25">
      <c r="A493" t="s">
        <v>491</v>
      </c>
      <c r="B493">
        <v>0</v>
      </c>
    </row>
    <row r="494" spans="1:2" x14ac:dyDescent="0.25">
      <c r="A494" t="s">
        <v>492</v>
      </c>
      <c r="B494">
        <v>21.339516972121359</v>
      </c>
    </row>
    <row r="495" spans="1:2" x14ac:dyDescent="0.25">
      <c r="A495" t="s">
        <v>493</v>
      </c>
      <c r="B495">
        <v>-46.56339240544245</v>
      </c>
    </row>
    <row r="496" spans="1:2" x14ac:dyDescent="0.25">
      <c r="A496" t="s">
        <v>494</v>
      </c>
      <c r="B496">
        <v>4.2418408270470991</v>
      </c>
    </row>
    <row r="497" spans="1:2" x14ac:dyDescent="0.25">
      <c r="A497" t="s">
        <v>495</v>
      </c>
      <c r="B497">
        <v>0</v>
      </c>
    </row>
    <row r="498" spans="1:2" x14ac:dyDescent="0.25">
      <c r="A498" t="s">
        <v>496</v>
      </c>
      <c r="B498">
        <v>0</v>
      </c>
    </row>
    <row r="499" spans="1:2" x14ac:dyDescent="0.25">
      <c r="A499" t="s">
        <v>538</v>
      </c>
      <c r="B499">
        <v>0</v>
      </c>
    </row>
    <row r="500" spans="1:2" x14ac:dyDescent="0.25">
      <c r="A500" t="s">
        <v>696</v>
      </c>
      <c r="B500">
        <v>47.147230684405379</v>
      </c>
    </row>
    <row r="501" spans="1:2" x14ac:dyDescent="0.25">
      <c r="A501" t="s">
        <v>697</v>
      </c>
      <c r="B501">
        <v>60.793962695868089</v>
      </c>
    </row>
    <row r="502" spans="1:2" x14ac:dyDescent="0.25">
      <c r="A502" t="s">
        <v>698</v>
      </c>
      <c r="B502">
        <v>44.033929155143433</v>
      </c>
    </row>
    <row r="503" spans="1:2" x14ac:dyDescent="0.25">
      <c r="A503" t="s">
        <v>699</v>
      </c>
      <c r="B503">
        <v>43.926860934496879</v>
      </c>
    </row>
    <row r="504" spans="1:2" x14ac:dyDescent="0.25">
      <c r="A504" t="s">
        <v>700</v>
      </c>
      <c r="B504">
        <v>34.679697870950619</v>
      </c>
    </row>
    <row r="505" spans="1:2" x14ac:dyDescent="0.25">
      <c r="A505" t="s">
        <v>701</v>
      </c>
      <c r="B505">
        <v>25.951006071802531</v>
      </c>
    </row>
    <row r="506" spans="1:2" x14ac:dyDescent="0.25">
      <c r="A506" t="s">
        <v>702</v>
      </c>
      <c r="B506">
        <v>48.52800846022366</v>
      </c>
    </row>
    <row r="507" spans="1:2" x14ac:dyDescent="0.25">
      <c r="A507" t="s">
        <v>703</v>
      </c>
      <c r="B507">
        <v>65.832008022586919</v>
      </c>
    </row>
    <row r="508" spans="1:2" x14ac:dyDescent="0.25">
      <c r="A508" t="s">
        <v>704</v>
      </c>
      <c r="B508">
        <v>70</v>
      </c>
    </row>
    <row r="509" spans="1:2" x14ac:dyDescent="0.25">
      <c r="A509" t="s">
        <v>705</v>
      </c>
      <c r="B509">
        <v>70</v>
      </c>
    </row>
    <row r="510" spans="1:2" x14ac:dyDescent="0.25">
      <c r="A510" t="s">
        <v>706</v>
      </c>
      <c r="B510">
        <v>90</v>
      </c>
    </row>
    <row r="511" spans="1:2" x14ac:dyDescent="0.25">
      <c r="A511" t="s">
        <v>707</v>
      </c>
      <c r="B511">
        <v>33.10537136057112</v>
      </c>
    </row>
    <row r="512" spans="1:2" x14ac:dyDescent="0.25">
      <c r="A512" t="s">
        <v>708</v>
      </c>
      <c r="B512">
        <v>70</v>
      </c>
    </row>
    <row r="513" spans="1:2" x14ac:dyDescent="0.25">
      <c r="A513" t="s">
        <v>709</v>
      </c>
      <c r="B513">
        <v>47.733023404855537</v>
      </c>
    </row>
    <row r="514" spans="1:2" x14ac:dyDescent="0.25">
      <c r="A514" t="s">
        <v>726</v>
      </c>
      <c r="B514">
        <v>55.028683314906438</v>
      </c>
    </row>
    <row r="515" spans="1:2" x14ac:dyDescent="0.25">
      <c r="A515" t="s">
        <v>710</v>
      </c>
      <c r="B515">
        <v>10.46673712740589</v>
      </c>
    </row>
    <row r="516" spans="1:2" x14ac:dyDescent="0.25">
      <c r="A516" t="s">
        <v>711</v>
      </c>
      <c r="B516">
        <v>55.854718150902372</v>
      </c>
    </row>
    <row r="517" spans="1:2" x14ac:dyDescent="0.25">
      <c r="A517" t="s">
        <v>712</v>
      </c>
      <c r="B517">
        <v>50.604053802087392</v>
      </c>
    </row>
    <row r="518" spans="1:2" x14ac:dyDescent="0.25">
      <c r="A518" t="s">
        <v>713</v>
      </c>
      <c r="B518">
        <v>70</v>
      </c>
    </row>
    <row r="519" spans="1:2" x14ac:dyDescent="0.25">
      <c r="A519" t="s">
        <v>714</v>
      </c>
      <c r="B519">
        <v>34.479613093048613</v>
      </c>
    </row>
    <row r="520" spans="1:2" x14ac:dyDescent="0.25">
      <c r="A520" t="s">
        <v>715</v>
      </c>
      <c r="B520">
        <v>19.839760898348342</v>
      </c>
    </row>
    <row r="521" spans="1:2" x14ac:dyDescent="0.25">
      <c r="A521" t="s">
        <v>716</v>
      </c>
      <c r="B521">
        <v>27.706257471541509</v>
      </c>
    </row>
    <row r="522" spans="1:2" x14ac:dyDescent="0.25">
      <c r="A522" t="s">
        <v>717</v>
      </c>
      <c r="B522">
        <v>29.79810324885193</v>
      </c>
    </row>
    <row r="523" spans="1:2" x14ac:dyDescent="0.25">
      <c r="A523" t="s">
        <v>718</v>
      </c>
      <c r="B523">
        <v>90</v>
      </c>
    </row>
    <row r="524" spans="1:2" x14ac:dyDescent="0.25">
      <c r="A524" t="s">
        <v>727</v>
      </c>
      <c r="B524">
        <v>31.73022020247474</v>
      </c>
    </row>
    <row r="525" spans="1:2" x14ac:dyDescent="0.25">
      <c r="A525" t="s">
        <v>728</v>
      </c>
      <c r="B525">
        <v>42.702372569266998</v>
      </c>
    </row>
    <row r="526" spans="1:2" x14ac:dyDescent="0.25">
      <c r="A526" t="s">
        <v>719</v>
      </c>
      <c r="B526">
        <v>54.987430179483098</v>
      </c>
    </row>
    <row r="527" spans="1:2" x14ac:dyDescent="0.25">
      <c r="A527" t="s">
        <v>720</v>
      </c>
      <c r="B527">
        <v>36.501737863153807</v>
      </c>
    </row>
    <row r="528" spans="1:2" x14ac:dyDescent="0.25">
      <c r="A528" t="s">
        <v>721</v>
      </c>
      <c r="B528">
        <v>48.438208237065233</v>
      </c>
    </row>
    <row r="529" spans="1:2" x14ac:dyDescent="0.25">
      <c r="A529" t="s">
        <v>722</v>
      </c>
      <c r="B529">
        <v>45.972811167181497</v>
      </c>
    </row>
    <row r="530" spans="1:2" x14ac:dyDescent="0.25">
      <c r="A530" t="s">
        <v>723</v>
      </c>
      <c r="B530">
        <v>54.728625566794541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7CD3-968D-444C-BAC8-C820DD098134}">
  <dimension ref="A1:V203"/>
  <sheetViews>
    <sheetView tabSelected="1" workbookViewId="0">
      <selection activeCell="K1" sqref="K1"/>
    </sheetView>
  </sheetViews>
  <sheetFormatPr defaultRowHeight="15" x14ac:dyDescent="0.25"/>
  <cols>
    <col min="1" max="1" width="12.28515625" customWidth="1"/>
    <col min="2" max="2" width="17.140625" customWidth="1"/>
    <col min="3" max="3" width="18.28515625" customWidth="1"/>
    <col min="4" max="4" width="10.42578125" customWidth="1"/>
    <col min="5" max="6" width="13.140625" customWidth="1"/>
    <col min="17" max="17" width="18.28515625" customWidth="1"/>
    <col min="18" max="18" width="17.28515625" customWidth="1"/>
  </cols>
  <sheetData>
    <row r="1" spans="1:22" x14ac:dyDescent="0.25">
      <c r="A1" t="s">
        <v>539</v>
      </c>
      <c r="B1" t="s">
        <v>497</v>
      </c>
      <c r="C1" t="s">
        <v>540</v>
      </c>
      <c r="D1" t="s">
        <v>541</v>
      </c>
      <c r="E1" t="s">
        <v>542</v>
      </c>
      <c r="F1" t="s">
        <v>759</v>
      </c>
      <c r="G1" t="s">
        <v>543</v>
      </c>
      <c r="H1" t="s">
        <v>544</v>
      </c>
      <c r="I1" t="s">
        <v>545</v>
      </c>
      <c r="J1" t="s">
        <v>761</v>
      </c>
      <c r="K1" t="s">
        <v>762</v>
      </c>
      <c r="Q1" s="2"/>
      <c r="T1" t="s">
        <v>760</v>
      </c>
      <c r="U1" t="s">
        <v>1</v>
      </c>
      <c r="V1" t="s">
        <v>2</v>
      </c>
    </row>
    <row r="2" spans="1:22" x14ac:dyDescent="0.25">
      <c r="A2" t="s">
        <v>31</v>
      </c>
      <c r="B2" t="str">
        <f>IF(A2="","",IF(ISNUMBER(SEARCH("GenSta",A2)),"ElmGenstat",IF(ISNUMBER(SEARCH("ES",A2)),"ElmGenstat",IF(ISNUMBER(SEARCH("Ld",A2)),"ElmLod",""))))</f>
        <v>ElmLod</v>
      </c>
      <c r="C2" t="str">
        <f>IF(A2="","",IF(ISNUMBER(SEARCH("GenSta",A2)),"pgini",IF(ISNUMBER(SEARCH("ES",A2)),"pgini",IF(ISNUMBER(SEARCH("Ld",A2)),"plini",""))))</f>
        <v>plini</v>
      </c>
      <c r="D2">
        <f>IF(A2="","",IF(ISNUMBER(SEARCH("GenSta",A2)),0,IF(ISNUMBER(SEARCH("ES",A2)),-50*$O$3,IF(ISNUMBER(SEARCH("Ld",A2)),0.2*E2,""))))</f>
        <v>18.500360234960752</v>
      </c>
      <c r="E2">
        <f>IF(A2="","",IF(ISNUMBER(SEARCH("GenSta",A2)),100*$O$2,IF(ISNUMBER(SEARCH("ES",A2)),50*$O$3,IF(ISNUMBER(SEARCH("Ld",A2)),2*R2*$O$4,""))))</f>
        <v>92.501801174803759</v>
      </c>
      <c r="G2" t="str">
        <f>IF(A2="","",IF(ISNUMBER(SEARCH("GenSta",A2)),"qgini",IF(ISNUMBER(SEARCH("ES",A2)),"qgini",IF(ISNUMBER(SEARCH("Ld",A2)),"qlini",""))))</f>
        <v>qlini</v>
      </c>
      <c r="H2">
        <f>IF(A2="","",IF(ISNUMBER(SEARCH("GenSta",A2)),-E2,IF(ISNUMBER(SEARCH("ES",A2)),D2,IF(ISNUMBER(SEARCH("Ld",A2)),-E2,""))))</f>
        <v>-92.501801174803759</v>
      </c>
      <c r="I2">
        <f>IF(A2="","",IF(ISNUMBER(SEARCH("GenSta",A2)),E2,IF(ISNUMBER(SEARCH("ES",A2)),E2,IF(ISNUMBER(SEARCH("Ld",A2)),E2,""))))</f>
        <v>92.501801174803759</v>
      </c>
      <c r="K2" t="str">
        <f>IF(A2="","",IF(ISNUMBER(SEARCH("GenSta",A2)),"GEN",IF(ISNUMBER(SEARCH("ES",A2)),"STORAGE",IF(ISNUMBER(SEARCH("Ld",A2)),"LOAD",""))))</f>
        <v>LOAD</v>
      </c>
      <c r="L2">
        <v>1</v>
      </c>
      <c r="N2" t="s">
        <v>638</v>
      </c>
      <c r="O2">
        <v>1</v>
      </c>
      <c r="Q2" s="2" t="str">
        <f>IF((_xlfn.XLOOKUP(A2,StatGen!A:A,StatGen!B:B," ")=0),(""),(_xlfn.IFNA(_xlfn.XLOOKUP(A2,StatGen!A:A,StatGen!B:B," "),"")))</f>
        <v xml:space="preserve"> </v>
      </c>
      <c r="R2" s="2">
        <f>IF((_xlfn.XLOOKUP(A2,Loads!A:A,Loads!B:B," ")=0),(""),(_xlfn.IFNA(_xlfn.XLOOKUP(A2,Loads!A:A,Loads!B:B," "),"")))</f>
        <v>46.25090058740188</v>
      </c>
      <c r="S2" s="2"/>
    </row>
    <row r="3" spans="1:22" x14ac:dyDescent="0.25">
      <c r="A3" t="s">
        <v>75</v>
      </c>
      <c r="B3" t="str">
        <f t="shared" ref="B3:B37" si="0">IF(A3="","",IF(ISNUMBER(SEARCH("GenSta",A3)),"ElmGenstat",IF(ISNUMBER(SEARCH("ES",A3)),"ElmGenstat",IF(ISNUMBER(SEARCH("Ld",A3)),"ElmLod",""))))</f>
        <v>ElmLod</v>
      </c>
      <c r="C3" t="str">
        <f t="shared" ref="C3:C37" si="1">IF(A3="","",IF(ISNUMBER(SEARCH("GenSta",A3)),"pgini",IF(ISNUMBER(SEARCH("ES",A3)),"pgini",IF(ISNUMBER(SEARCH("Ld",A3)),"plini",""))))</f>
        <v>plini</v>
      </c>
      <c r="D3">
        <f>IF(A3="","",IF(ISNUMBER(SEARCH("GenSta",A3)),0,IF(ISNUMBER(SEARCH("ES",A3)),-50*$O$3,IF(ISNUMBER(SEARCH("Ld",A3)),0.2*E3,""))))</f>
        <v>2.3695447401873819</v>
      </c>
      <c r="E3">
        <f>IF(A3="","",IF(ISNUMBER(SEARCH("GenSta",A3)),100*$O$2,IF(ISNUMBER(SEARCH("ES",A3)),50*$O$3,IF(ISNUMBER(SEARCH("Ld",A3)),2*R3*$O$4,""))))</f>
        <v>11.847723700936909</v>
      </c>
      <c r="G3" t="str">
        <f t="shared" ref="G3:G37" si="2">IF(A3="","",IF(ISNUMBER(SEARCH("GenSta",A3)),"qgini",IF(ISNUMBER(SEARCH("ES",A3)),"qgini",IF(ISNUMBER(SEARCH("Ld",A3)),"qlini",""))))</f>
        <v>qlini</v>
      </c>
      <c r="H3">
        <f t="shared" ref="H3:H37" si="3">IF(A3="","",IF(ISNUMBER(SEARCH("GenSta",A3)),-E3,IF(ISNUMBER(SEARCH("ES",A3)),D3,IF(ISNUMBER(SEARCH("Ld",A3)),-E3,""))))</f>
        <v>-11.847723700936909</v>
      </c>
      <c r="I3">
        <f t="shared" ref="I3:I37" si="4">IF(A3="","",IF(ISNUMBER(SEARCH("GenSta",A3)),E3,IF(ISNUMBER(SEARCH("ES",A3)),E3,IF(ISNUMBER(SEARCH("Ld",A3)),E3,""))))</f>
        <v>11.847723700936909</v>
      </c>
      <c r="K3" t="str">
        <f t="shared" ref="K3:K66" si="5">IF(A3="","",IF(ISNUMBER(SEARCH("GenSta",A3)),"GEN",IF(ISNUMBER(SEARCH("ES",A3)),"STORAGE",IF(ISNUMBER(SEARCH("Ld",A3)),"LOAD",""))))</f>
        <v>LOAD</v>
      </c>
      <c r="N3" t="s">
        <v>690</v>
      </c>
      <c r="O3">
        <v>1</v>
      </c>
      <c r="Q3" s="2" t="str">
        <f>IF((_xlfn.XLOOKUP(A3,StatGen!A:A,StatGen!B:B," ")=0),(""),(_xlfn.IFNA(_xlfn.XLOOKUP(A3,StatGen!A:A,StatGen!B:B," "),"")))</f>
        <v xml:space="preserve"> </v>
      </c>
      <c r="R3" s="2">
        <f>IF((_xlfn.XLOOKUP(A3,Loads!A:A,Loads!B:B," ")=0),(""),(_xlfn.IFNA(_xlfn.XLOOKUP(A3,Loads!A:A,Loads!B:B," "),"")))</f>
        <v>5.9238618504684544</v>
      </c>
      <c r="S3" s="2"/>
    </row>
    <row r="4" spans="1:22" x14ac:dyDescent="0.25">
      <c r="A4" t="s">
        <v>103</v>
      </c>
      <c r="B4" t="str">
        <f t="shared" si="0"/>
        <v>ElmLod</v>
      </c>
      <c r="C4" t="str">
        <f t="shared" si="1"/>
        <v>plini</v>
      </c>
      <c r="D4">
        <f>IF(A4="","",IF(ISNUMBER(SEARCH("GenSta",A4)),0,IF(ISNUMBER(SEARCH("ES",A4)),-50*$O$3,IF(ISNUMBER(SEARCH("Ld",A4)),0.2*E4,""))))</f>
        <v>14.645162245411846</v>
      </c>
      <c r="E4">
        <f>IF(A4="","",IF(ISNUMBER(SEARCH("GenSta",A4)),100*$O$2,IF(ISNUMBER(SEARCH("ES",A4)),50*$O$3,IF(ISNUMBER(SEARCH("Ld",A4)),2*R4*$O$4,""))))</f>
        <v>73.225811227059225</v>
      </c>
      <c r="G4" t="str">
        <f t="shared" si="2"/>
        <v>qlini</v>
      </c>
      <c r="H4">
        <f t="shared" si="3"/>
        <v>-73.225811227059225</v>
      </c>
      <c r="I4">
        <f t="shared" si="4"/>
        <v>73.225811227059225</v>
      </c>
      <c r="K4" t="str">
        <f t="shared" si="5"/>
        <v>LOAD</v>
      </c>
      <c r="N4" t="s">
        <v>729</v>
      </c>
      <c r="O4">
        <v>1</v>
      </c>
      <c r="Q4" s="2" t="str">
        <f>IF((_xlfn.XLOOKUP(A4,StatGen!A:A,StatGen!B:B," ")=0),(""),(_xlfn.IFNA(_xlfn.XLOOKUP(A4,StatGen!A:A,StatGen!B:B," "),"")))</f>
        <v xml:space="preserve"> </v>
      </c>
      <c r="R4" s="2">
        <f>IF((_xlfn.XLOOKUP(A4,Loads!A:A,Loads!B:B," ")=0),(""),(_xlfn.IFNA(_xlfn.XLOOKUP(A4,Loads!A:A,Loads!B:B," "),"")))</f>
        <v>36.612905613529612</v>
      </c>
      <c r="S4" s="2"/>
    </row>
    <row r="5" spans="1:22" x14ac:dyDescent="0.25">
      <c r="A5" t="s">
        <v>140</v>
      </c>
      <c r="B5" t="str">
        <f t="shared" si="0"/>
        <v>ElmLod</v>
      </c>
      <c r="C5" t="str">
        <f t="shared" si="1"/>
        <v>plini</v>
      </c>
      <c r="D5">
        <f>IF(A5="","",IF(ISNUMBER(SEARCH("GenSta",A5)),0,IF(ISNUMBER(SEARCH("ES",A5)),-50*$O$3,IF(ISNUMBER(SEARCH("Ld",A5)),0.2*E5,""))))</f>
        <v>24.685217527319296</v>
      </c>
      <c r="E5">
        <f>IF(A5="","",IF(ISNUMBER(SEARCH("GenSta",A5)),100*$O$2,IF(ISNUMBER(SEARCH("ES",A5)),50*$O$3,IF(ISNUMBER(SEARCH("Ld",A5)),2*R5*$O$4,""))))</f>
        <v>123.42608763659646</v>
      </c>
      <c r="G5" t="str">
        <f t="shared" si="2"/>
        <v>qlini</v>
      </c>
      <c r="H5">
        <f t="shared" si="3"/>
        <v>-123.42608763659646</v>
      </c>
      <c r="I5">
        <f t="shared" si="4"/>
        <v>123.42608763659646</v>
      </c>
      <c r="K5" t="str">
        <f t="shared" si="5"/>
        <v>LOAD</v>
      </c>
      <c r="Q5" s="2" t="str">
        <f>IF((_xlfn.XLOOKUP(A5,StatGen!A:A,StatGen!B:B," ")=0),(""),(_xlfn.IFNA(_xlfn.XLOOKUP(A5,StatGen!A:A,StatGen!B:B," "),"")))</f>
        <v xml:space="preserve"> </v>
      </c>
      <c r="R5" s="2">
        <f>IF((_xlfn.XLOOKUP(A5,Loads!A:A,Loads!B:B," ")=0),(""),(_xlfn.IFNA(_xlfn.XLOOKUP(A5,Loads!A:A,Loads!B:B," "),"")))</f>
        <v>61.713043818298232</v>
      </c>
      <c r="S5" s="2"/>
    </row>
    <row r="6" spans="1:22" x14ac:dyDescent="0.25">
      <c r="A6" t="s">
        <v>176</v>
      </c>
      <c r="B6" t="str">
        <f t="shared" si="0"/>
        <v>ElmLod</v>
      </c>
      <c r="C6" t="str">
        <f t="shared" si="1"/>
        <v>plini</v>
      </c>
      <c r="D6">
        <f>IF(A6="","",IF(ISNUMBER(SEARCH("GenSta",A6)),0,IF(ISNUMBER(SEARCH("ES",A6)),-50*$O$3,IF(ISNUMBER(SEARCH("Ld",A6)),0.2*E6,""))))</f>
        <v>20.571703094692413</v>
      </c>
      <c r="E6">
        <f>IF(A6="","",IF(ISNUMBER(SEARCH("GenSta",A6)),100*$O$2,IF(ISNUMBER(SEARCH("ES",A6)),50*$O$3,IF(ISNUMBER(SEARCH("Ld",A6)),2*R6*$O$4,""))))</f>
        <v>102.85851547346206</v>
      </c>
      <c r="G6" t="str">
        <f t="shared" si="2"/>
        <v>qlini</v>
      </c>
      <c r="H6">
        <f t="shared" si="3"/>
        <v>-102.85851547346206</v>
      </c>
      <c r="I6">
        <f t="shared" si="4"/>
        <v>102.85851547346206</v>
      </c>
      <c r="K6" t="str">
        <f t="shared" si="5"/>
        <v>LOAD</v>
      </c>
      <c r="Q6" s="2" t="str">
        <f>IF((_xlfn.XLOOKUP(A6,StatGen!A:A,StatGen!B:B," ")=0),(""),(_xlfn.IFNA(_xlfn.XLOOKUP(A6,StatGen!A:A,StatGen!B:B," "),"")))</f>
        <v xml:space="preserve"> </v>
      </c>
      <c r="R6" s="2">
        <f>IF((_xlfn.XLOOKUP(A6,Loads!A:A,Loads!B:B," ")=0),(""),(_xlfn.IFNA(_xlfn.XLOOKUP(A6,Loads!A:A,Loads!B:B," "),"")))</f>
        <v>51.429257736731032</v>
      </c>
      <c r="S6" s="2"/>
    </row>
    <row r="7" spans="1:22" x14ac:dyDescent="0.25">
      <c r="A7" t="s">
        <v>190</v>
      </c>
      <c r="B7" t="str">
        <f t="shared" si="0"/>
        <v>ElmLod</v>
      </c>
      <c r="C7" t="str">
        <f t="shared" si="1"/>
        <v>plini</v>
      </c>
      <c r="D7">
        <f>IF(A7="","",IF(ISNUMBER(SEARCH("GenSta",A7)),0,IF(ISNUMBER(SEARCH("ES",A7)),-50*$O$3,IF(ISNUMBER(SEARCH("Ld",A7)),0.2*E7,""))))</f>
        <v>13.630712964216253</v>
      </c>
      <c r="E7">
        <f>IF(A7="","",IF(ISNUMBER(SEARCH("GenSta",A7)),100*$O$2,IF(ISNUMBER(SEARCH("ES",A7)),50*$O$3,IF(ISNUMBER(SEARCH("Ld",A7)),2*R7*$O$4,""))))</f>
        <v>68.153564821081261</v>
      </c>
      <c r="G7" t="str">
        <f t="shared" si="2"/>
        <v>qlini</v>
      </c>
      <c r="H7">
        <f t="shared" si="3"/>
        <v>-68.153564821081261</v>
      </c>
      <c r="I7">
        <f t="shared" si="4"/>
        <v>68.153564821081261</v>
      </c>
      <c r="K7" t="str">
        <f t="shared" si="5"/>
        <v>LOAD</v>
      </c>
      <c r="Q7" s="2" t="str">
        <f>IF((_xlfn.XLOOKUP(A7,StatGen!A:A,StatGen!B:B," ")=0),(""),(_xlfn.IFNA(_xlfn.XLOOKUP(A7,StatGen!A:A,StatGen!B:B," "),"")))</f>
        <v xml:space="preserve"> </v>
      </c>
      <c r="R7" s="2">
        <f>IF((_xlfn.XLOOKUP(A7,Loads!A:A,Loads!B:B," ")=0),(""),(_xlfn.IFNA(_xlfn.XLOOKUP(A7,Loads!A:A,Loads!B:B," "),"")))</f>
        <v>34.076782410540631</v>
      </c>
      <c r="S7" s="2"/>
    </row>
    <row r="8" spans="1:22" x14ac:dyDescent="0.25">
      <c r="A8" t="s">
        <v>730</v>
      </c>
      <c r="B8" t="str">
        <f t="shared" si="0"/>
        <v>ElmGenstat</v>
      </c>
      <c r="C8" t="str">
        <f t="shared" si="1"/>
        <v>pgini</v>
      </c>
      <c r="D8">
        <f>IF(A8="","",IF(ISNUMBER(SEARCH("GenSta",A8)),0,IF(ISNUMBER(SEARCH("ES",A8)),-50*$O$3,IF(ISNUMBER(SEARCH("Ld",A8)),0.2*E8,""))))</f>
        <v>-50</v>
      </c>
      <c r="E8">
        <f>IF(A8="","",IF(ISNUMBER(SEARCH("GenSta",A8)),100,IF(ISNUMBER(SEARCH("ES",A8)),50*$O$3,IF(ISNUMBER(SEARCH("Ld",A8)),2*R8,""))))</f>
        <v>50</v>
      </c>
      <c r="G8" t="str">
        <f t="shared" si="2"/>
        <v>qgini</v>
      </c>
      <c r="H8">
        <f t="shared" si="3"/>
        <v>-50</v>
      </c>
      <c r="I8">
        <f t="shared" si="4"/>
        <v>50</v>
      </c>
      <c r="K8" t="str">
        <f t="shared" si="5"/>
        <v>STORAGE</v>
      </c>
      <c r="Q8" s="2" t="str">
        <f>IF((_xlfn.XLOOKUP(A8,StatGen!A:A,StatGen!B:B," ")=0),(""),(_xlfn.IFNA(_xlfn.XLOOKUP(A8,StatGen!A:A,StatGen!B:B," "),"")))</f>
        <v xml:space="preserve"> </v>
      </c>
      <c r="R8" s="2" t="str">
        <f>IF((_xlfn.XLOOKUP(A8,Loads!A:A,Loads!B:B," ")=0),(""),(_xlfn.IFNA(_xlfn.XLOOKUP(A8,Loads!A:A,Loads!B:B," "),"")))</f>
        <v xml:space="preserve"> </v>
      </c>
    </row>
    <row r="9" spans="1:22" x14ac:dyDescent="0.25">
      <c r="A9" t="s">
        <v>731</v>
      </c>
      <c r="B9" t="str">
        <f t="shared" si="0"/>
        <v>ElmGenstat</v>
      </c>
      <c r="C9" t="str">
        <f t="shared" si="1"/>
        <v>pgini</v>
      </c>
      <c r="D9">
        <f>IF(A9="","",IF(ISNUMBER(SEARCH("GenSta",A9)),0,IF(ISNUMBER(SEARCH("ES",A9)),-50*$O$3,IF(ISNUMBER(SEARCH("Ld",A9)),0.2*E9,""))))</f>
        <v>-50</v>
      </c>
      <c r="E9">
        <f>IF(A9="","",IF(ISNUMBER(SEARCH("GenSta",A9)),100,IF(ISNUMBER(SEARCH("ES",A9)),50*$O$3,IF(ISNUMBER(SEARCH("Ld",A9)),2*R9,""))))</f>
        <v>50</v>
      </c>
      <c r="G9" t="str">
        <f t="shared" si="2"/>
        <v>qgini</v>
      </c>
      <c r="H9">
        <f t="shared" si="3"/>
        <v>-50</v>
      </c>
      <c r="I9">
        <f t="shared" si="4"/>
        <v>50</v>
      </c>
      <c r="K9" t="str">
        <f t="shared" si="5"/>
        <v>STORAGE</v>
      </c>
      <c r="Q9" s="2" t="str">
        <f>IF((_xlfn.XLOOKUP(A9,StatGen!A:A,StatGen!B:B," ")=0),(""),(_xlfn.IFNA(_xlfn.XLOOKUP(A9,StatGen!A:A,StatGen!B:B," "),"")))</f>
        <v xml:space="preserve"> </v>
      </c>
      <c r="R9" s="2" t="str">
        <f>IF((_xlfn.XLOOKUP(A9,Loads!A:A,Loads!B:B," ")=0),(""),(_xlfn.IFNA(_xlfn.XLOOKUP(A9,Loads!A:A,Loads!B:B," "),"")))</f>
        <v xml:space="preserve"> </v>
      </c>
    </row>
    <row r="10" spans="1:22" x14ac:dyDescent="0.25">
      <c r="A10" t="s">
        <v>732</v>
      </c>
      <c r="B10" t="str">
        <f t="shared" si="0"/>
        <v>ElmGenstat</v>
      </c>
      <c r="C10" t="str">
        <f t="shared" si="1"/>
        <v>pgini</v>
      </c>
      <c r="D10">
        <f>IF(A10="","",IF(ISNUMBER(SEARCH("GenSta",A10)),0,IF(ISNUMBER(SEARCH("ES",A10)),-50*$O$3,IF(ISNUMBER(SEARCH("Ld",A10)),0.2*E10,""))))</f>
        <v>-50</v>
      </c>
      <c r="E10">
        <f>IF(A10="","",IF(ISNUMBER(SEARCH("GenSta",A10)),100,IF(ISNUMBER(SEARCH("ES",A10)),50*$O$3,IF(ISNUMBER(SEARCH("Ld",A10)),2*R10,""))))</f>
        <v>50</v>
      </c>
      <c r="G10" t="str">
        <f t="shared" si="2"/>
        <v>qgini</v>
      </c>
      <c r="H10">
        <f t="shared" si="3"/>
        <v>-50</v>
      </c>
      <c r="I10">
        <f t="shared" si="4"/>
        <v>50</v>
      </c>
      <c r="K10" t="str">
        <f t="shared" si="5"/>
        <v>STORAGE</v>
      </c>
      <c r="Q10" s="2" t="str">
        <f>IF((_xlfn.XLOOKUP(A10,StatGen!A:A,StatGen!B:B," ")=0),(""),(_xlfn.IFNA(_xlfn.XLOOKUP(A10,StatGen!A:A,StatGen!B:B," "),"")))</f>
        <v xml:space="preserve"> </v>
      </c>
      <c r="R10" s="2" t="str">
        <f>IF((_xlfn.XLOOKUP(A10,Loads!A:A,Loads!B:B," ")=0),(""),(_xlfn.IFNA(_xlfn.XLOOKUP(A10,Loads!A:A,Loads!B:B," "),"")))</f>
        <v xml:space="preserve"> </v>
      </c>
    </row>
    <row r="11" spans="1:22" x14ac:dyDescent="0.25">
      <c r="A11" t="s">
        <v>733</v>
      </c>
      <c r="B11" t="str">
        <f t="shared" si="0"/>
        <v>ElmGenstat</v>
      </c>
      <c r="C11" t="str">
        <f t="shared" si="1"/>
        <v>pgini</v>
      </c>
      <c r="D11">
        <f>IF(A11="","",IF(ISNUMBER(SEARCH("GenSta",A11)),0,IF(ISNUMBER(SEARCH("ES",A11)),-50*$O$3,IF(ISNUMBER(SEARCH("Ld",A11)),0.2*E11,""))))</f>
        <v>-50</v>
      </c>
      <c r="E11">
        <f>IF(A11="","",IF(ISNUMBER(SEARCH("GenSta",A11)),100,IF(ISNUMBER(SEARCH("ES",A11)),50*$O$3,IF(ISNUMBER(SEARCH("Ld",A11)),2*R11,""))))</f>
        <v>50</v>
      </c>
      <c r="G11" t="str">
        <f t="shared" si="2"/>
        <v>qgini</v>
      </c>
      <c r="H11">
        <f t="shared" si="3"/>
        <v>-50</v>
      </c>
      <c r="I11">
        <f t="shared" si="4"/>
        <v>50</v>
      </c>
      <c r="K11" t="str">
        <f t="shared" si="5"/>
        <v>STORAGE</v>
      </c>
      <c r="Q11" s="2" t="str">
        <f>IF((_xlfn.XLOOKUP(A11,StatGen!A:A,StatGen!B:B," ")=0),(""),(_xlfn.IFNA(_xlfn.XLOOKUP(A11,StatGen!A:A,StatGen!B:B," "),"")))</f>
        <v xml:space="preserve"> </v>
      </c>
      <c r="R11" s="2" t="str">
        <f>IF((_xlfn.XLOOKUP(A11,Loads!A:A,Loads!B:B," ")=0),(""),(_xlfn.IFNA(_xlfn.XLOOKUP(A11,Loads!A:A,Loads!B:B," "),"")))</f>
        <v xml:space="preserve"> </v>
      </c>
    </row>
    <row r="12" spans="1:22" x14ac:dyDescent="0.25">
      <c r="A12" t="s">
        <v>734</v>
      </c>
      <c r="B12" t="str">
        <f t="shared" si="0"/>
        <v>ElmGenstat</v>
      </c>
      <c r="C12" t="str">
        <f t="shared" si="1"/>
        <v>pgini</v>
      </c>
      <c r="D12">
        <f>IF(A12="","",IF(ISNUMBER(SEARCH("GenSta",A12)),0,IF(ISNUMBER(SEARCH("ES",A12)),-50*$O$3,IF(ISNUMBER(SEARCH("Ld",A12)),0.2*E12,""))))</f>
        <v>-50</v>
      </c>
      <c r="E12">
        <f>IF(A12="","",IF(ISNUMBER(SEARCH("GenSta",A12)),100,IF(ISNUMBER(SEARCH("ES",A12)),50*$O$3,IF(ISNUMBER(SEARCH("Ld",A12)),2*R12,""))))</f>
        <v>50</v>
      </c>
      <c r="G12" t="str">
        <f t="shared" si="2"/>
        <v>qgini</v>
      </c>
      <c r="H12">
        <f t="shared" si="3"/>
        <v>-50</v>
      </c>
      <c r="I12">
        <f t="shared" si="4"/>
        <v>50</v>
      </c>
      <c r="K12" t="str">
        <f t="shared" si="5"/>
        <v>STORAGE</v>
      </c>
      <c r="Q12" s="2" t="str">
        <f>IF((_xlfn.XLOOKUP(A12,StatGen!A:A,StatGen!B:B," ")=0),(""),(_xlfn.IFNA(_xlfn.XLOOKUP(A12,StatGen!A:A,StatGen!B:B," "),"")))</f>
        <v xml:space="preserve"> </v>
      </c>
      <c r="R12" s="2" t="str">
        <f>IF((_xlfn.XLOOKUP(A12,Loads!A:A,Loads!B:B," ")=0),(""),(_xlfn.IFNA(_xlfn.XLOOKUP(A12,Loads!A:A,Loads!B:B," "),"")))</f>
        <v xml:space="preserve"> </v>
      </c>
    </row>
    <row r="13" spans="1:22" x14ac:dyDescent="0.25">
      <c r="A13" t="s">
        <v>735</v>
      </c>
      <c r="B13" t="str">
        <f t="shared" si="0"/>
        <v>ElmGenstat</v>
      </c>
      <c r="C13" t="str">
        <f t="shared" si="1"/>
        <v>pgini</v>
      </c>
      <c r="D13">
        <f>IF(A13="","",IF(ISNUMBER(SEARCH("GenSta",A13)),0,IF(ISNUMBER(SEARCH("ES",A13)),-50*$O$3,IF(ISNUMBER(SEARCH("Ld",A13)),0.2*E13,""))))</f>
        <v>0</v>
      </c>
      <c r="E13">
        <f>IF(A13="","",IF(ISNUMBER(SEARCH("GenSta",A13)),100,IF(ISNUMBER(SEARCH("ES",A13)),50*$O$3,IF(ISNUMBER(SEARCH("Ld",A13)),2*R13,""))))</f>
        <v>100</v>
      </c>
      <c r="G13" t="str">
        <f t="shared" si="2"/>
        <v>qgini</v>
      </c>
      <c r="H13">
        <f t="shared" si="3"/>
        <v>-100</v>
      </c>
      <c r="I13">
        <f t="shared" si="4"/>
        <v>100</v>
      </c>
      <c r="K13" t="str">
        <f t="shared" si="5"/>
        <v>GEN</v>
      </c>
      <c r="Q13" s="2" t="str">
        <f>IF((_xlfn.XLOOKUP(A13,StatGen!A:A,StatGen!B:B," ")=0),(""),(_xlfn.IFNA(_xlfn.XLOOKUP(A13,StatGen!A:A,StatGen!B:B," "),"")))</f>
        <v xml:space="preserve"> </v>
      </c>
      <c r="R13" s="2" t="str">
        <f>IF((_xlfn.XLOOKUP(A13,Loads!A:A,Loads!B:B," ")=0),(""),(_xlfn.IFNA(_xlfn.XLOOKUP(A13,Loads!A:A,Loads!B:B," "),"")))</f>
        <v xml:space="preserve"> </v>
      </c>
    </row>
    <row r="14" spans="1:22" x14ac:dyDescent="0.25">
      <c r="A14" t="s">
        <v>736</v>
      </c>
      <c r="B14" t="str">
        <f t="shared" si="0"/>
        <v>ElmGenstat</v>
      </c>
      <c r="C14" t="str">
        <f t="shared" si="1"/>
        <v>pgini</v>
      </c>
      <c r="D14">
        <f>IF(A14="","",IF(ISNUMBER(SEARCH("GenSta",A14)),0,IF(ISNUMBER(SEARCH("ES",A14)),-50*$O$3,IF(ISNUMBER(SEARCH("Ld",A14)),0.2*E14,""))))</f>
        <v>0</v>
      </c>
      <c r="E14">
        <f>IF(A14="","",IF(ISNUMBER(SEARCH("GenSta",A14)),100,IF(ISNUMBER(SEARCH("ES",A14)),50*$O$3,IF(ISNUMBER(SEARCH("Ld",A14)),2*R14,""))))</f>
        <v>100</v>
      </c>
      <c r="G14" t="str">
        <f t="shared" si="2"/>
        <v>qgini</v>
      </c>
      <c r="H14">
        <f t="shared" si="3"/>
        <v>-100</v>
      </c>
      <c r="I14">
        <f t="shared" si="4"/>
        <v>100</v>
      </c>
      <c r="K14" t="str">
        <f t="shared" si="5"/>
        <v>GEN</v>
      </c>
      <c r="Q14" s="2" t="str">
        <f>IF((_xlfn.XLOOKUP(A14,StatGen!A:A,StatGen!B:B," ")=0),(""),(_xlfn.IFNA(_xlfn.XLOOKUP(A14,StatGen!A:A,StatGen!B:B," "),"")))</f>
        <v xml:space="preserve"> </v>
      </c>
      <c r="R14" s="2" t="str">
        <f>IF((_xlfn.XLOOKUP(A14,Loads!A:A,Loads!B:B," ")=0),(""),(_xlfn.IFNA(_xlfn.XLOOKUP(A14,Loads!A:A,Loads!B:B," "),"")))</f>
        <v xml:space="preserve"> </v>
      </c>
    </row>
    <row r="15" spans="1:22" x14ac:dyDescent="0.25">
      <c r="A15" t="s">
        <v>737</v>
      </c>
      <c r="B15" t="str">
        <f t="shared" si="0"/>
        <v>ElmGenstat</v>
      </c>
      <c r="C15" t="str">
        <f t="shared" si="1"/>
        <v>pgini</v>
      </c>
      <c r="D15">
        <f>IF(A15="","",IF(ISNUMBER(SEARCH("GenSta",A15)),0,IF(ISNUMBER(SEARCH("ES",A15)),-50*$O$3,IF(ISNUMBER(SEARCH("Ld",A15)),0.2*E15,""))))</f>
        <v>0</v>
      </c>
      <c r="E15">
        <f>IF(A15="","",IF(ISNUMBER(SEARCH("GenSta",A15)),100,IF(ISNUMBER(SEARCH("ES",A15)),50*$O$3,IF(ISNUMBER(SEARCH("Ld",A15)),2*R15,""))))</f>
        <v>100</v>
      </c>
      <c r="G15" t="str">
        <f t="shared" si="2"/>
        <v>qgini</v>
      </c>
      <c r="H15">
        <f t="shared" si="3"/>
        <v>-100</v>
      </c>
      <c r="I15">
        <f t="shared" si="4"/>
        <v>100</v>
      </c>
      <c r="K15" t="str">
        <f t="shared" si="5"/>
        <v>GEN</v>
      </c>
      <c r="Q15" s="2" t="str">
        <f>IF((_xlfn.XLOOKUP(A15,StatGen!A:A,StatGen!B:B," ")=0),(""),(_xlfn.IFNA(_xlfn.XLOOKUP(A15,StatGen!A:A,StatGen!B:B," "),"")))</f>
        <v xml:space="preserve"> </v>
      </c>
      <c r="R15" s="2" t="str">
        <f>IF((_xlfn.XLOOKUP(A15,Loads!A:A,Loads!B:B," ")=0),(""),(_xlfn.IFNA(_xlfn.XLOOKUP(A15,Loads!A:A,Loads!B:B," "),"")))</f>
        <v xml:space="preserve"> </v>
      </c>
    </row>
    <row r="16" spans="1:22" x14ac:dyDescent="0.25">
      <c r="A16" t="s">
        <v>738</v>
      </c>
      <c r="B16" t="str">
        <f t="shared" si="0"/>
        <v>ElmGenstat</v>
      </c>
      <c r="C16" t="str">
        <f t="shared" si="1"/>
        <v>pgini</v>
      </c>
      <c r="D16">
        <f>IF(A16="","",IF(ISNUMBER(SEARCH("GenSta",A16)),0,IF(ISNUMBER(SEARCH("ES",A16)),-50*$O$3,IF(ISNUMBER(SEARCH("Ld",A16)),0.2*E16,""))))</f>
        <v>0</v>
      </c>
      <c r="E16">
        <f>IF(A16="","",IF(ISNUMBER(SEARCH("GenSta",A16)),100,IF(ISNUMBER(SEARCH("ES",A16)),50*$O$3,IF(ISNUMBER(SEARCH("Ld",A16)),2*R16,""))))</f>
        <v>100</v>
      </c>
      <c r="G16" t="str">
        <f t="shared" si="2"/>
        <v>qgini</v>
      </c>
      <c r="H16">
        <f t="shared" si="3"/>
        <v>-100</v>
      </c>
      <c r="I16">
        <f t="shared" si="4"/>
        <v>100</v>
      </c>
      <c r="K16" t="str">
        <f t="shared" si="5"/>
        <v>GEN</v>
      </c>
      <c r="Q16" s="2" t="str">
        <f>IF((_xlfn.XLOOKUP(A16,StatGen!A:A,StatGen!B:B," ")=0),(""),(_xlfn.IFNA(_xlfn.XLOOKUP(A16,StatGen!A:A,StatGen!B:B," "),"")))</f>
        <v xml:space="preserve"> </v>
      </c>
      <c r="R16" s="2" t="str">
        <f>IF((_xlfn.XLOOKUP(A16,Loads!A:A,Loads!B:B," ")=0),(""),(_xlfn.IFNA(_xlfn.XLOOKUP(A16,Loads!A:A,Loads!B:B," "),"")))</f>
        <v xml:space="preserve"> </v>
      </c>
    </row>
    <row r="17" spans="1:18" x14ac:dyDescent="0.25">
      <c r="A17" t="s">
        <v>739</v>
      </c>
      <c r="B17" t="str">
        <f t="shared" si="0"/>
        <v>ElmGenstat</v>
      </c>
      <c r="C17" t="str">
        <f t="shared" si="1"/>
        <v>pgini</v>
      </c>
      <c r="D17">
        <f>IF(A17="","",IF(ISNUMBER(SEARCH("GenSta",A17)),0,IF(ISNUMBER(SEARCH("ES",A17)),-50*$O$3,IF(ISNUMBER(SEARCH("Ld",A17)),0.2*E17,""))))</f>
        <v>0</v>
      </c>
      <c r="E17">
        <f>IF(A17="","",IF(ISNUMBER(SEARCH("GenSta",A17)),100,IF(ISNUMBER(SEARCH("ES",A17)),50*$O$3,IF(ISNUMBER(SEARCH("Ld",A17)),2*R17,""))))</f>
        <v>100</v>
      </c>
      <c r="G17" t="str">
        <f t="shared" si="2"/>
        <v>qgini</v>
      </c>
      <c r="H17">
        <f t="shared" si="3"/>
        <v>-100</v>
      </c>
      <c r="I17">
        <f t="shared" si="4"/>
        <v>100</v>
      </c>
      <c r="K17" t="str">
        <f t="shared" si="5"/>
        <v>GEN</v>
      </c>
      <c r="Q17" s="2" t="str">
        <f>IF((_xlfn.XLOOKUP(A17,StatGen!A:A,StatGen!B:B," ")=0),(""),(_xlfn.IFNA(_xlfn.XLOOKUP(A17,StatGen!A:A,StatGen!B:B," "),"")))</f>
        <v xml:space="preserve"> </v>
      </c>
      <c r="R17" s="2" t="str">
        <f>IF((_xlfn.XLOOKUP(A17,Loads!A:A,Loads!B:B," ")=0),(""),(_xlfn.IFNA(_xlfn.XLOOKUP(A17,Loads!A:A,Loads!B:B," "),"")))</f>
        <v xml:space="preserve"> </v>
      </c>
    </row>
    <row r="18" spans="1:18" x14ac:dyDescent="0.25">
      <c r="A18" t="s">
        <v>740</v>
      </c>
      <c r="B18" t="str">
        <f t="shared" si="0"/>
        <v>ElmGenstat</v>
      </c>
      <c r="C18" t="str">
        <f t="shared" si="1"/>
        <v>pgini</v>
      </c>
      <c r="D18">
        <f>IF(A18="","",IF(ISNUMBER(SEARCH("GenSta",A18)),0,IF(ISNUMBER(SEARCH("ES",A18)),-50*$O$3,IF(ISNUMBER(SEARCH("Ld",A18)),0.2*E18,""))))</f>
        <v>0</v>
      </c>
      <c r="E18">
        <f>IF(A18="","",IF(ISNUMBER(SEARCH("GenSta",A18)),100,IF(ISNUMBER(SEARCH("ES",A18)),50*$O$3,IF(ISNUMBER(SEARCH("Ld",A18)),2*R18,""))))</f>
        <v>100</v>
      </c>
      <c r="G18" t="str">
        <f t="shared" si="2"/>
        <v>qgini</v>
      </c>
      <c r="H18">
        <f t="shared" si="3"/>
        <v>-100</v>
      </c>
      <c r="I18">
        <f t="shared" si="4"/>
        <v>100</v>
      </c>
      <c r="K18" t="str">
        <f t="shared" si="5"/>
        <v>GEN</v>
      </c>
      <c r="Q18" s="2" t="str">
        <f>IF((_xlfn.XLOOKUP(A18,StatGen!A:A,StatGen!B:B," ")=0),(""),(_xlfn.IFNA(_xlfn.XLOOKUP(A18,StatGen!A:A,StatGen!B:B," "),"")))</f>
        <v xml:space="preserve"> </v>
      </c>
      <c r="R18" s="2" t="str">
        <f>IF((_xlfn.XLOOKUP(A18,Loads!A:A,Loads!B:B," ")=0),(""),(_xlfn.IFNA(_xlfn.XLOOKUP(A18,Loads!A:A,Loads!B:B," "),"")))</f>
        <v xml:space="preserve"> </v>
      </c>
    </row>
    <row r="19" spans="1:18" x14ac:dyDescent="0.25">
      <c r="A19" t="s">
        <v>741</v>
      </c>
      <c r="B19" t="str">
        <f t="shared" si="0"/>
        <v>ElmGenstat</v>
      </c>
      <c r="C19" t="str">
        <f t="shared" si="1"/>
        <v>pgini</v>
      </c>
      <c r="D19">
        <f>IF(A19="","",IF(ISNUMBER(SEARCH("GenSta",A19)),0,IF(ISNUMBER(SEARCH("ES",A19)),-50*$O$3,IF(ISNUMBER(SEARCH("Ld",A19)),0.2*E19,""))))</f>
        <v>0</v>
      </c>
      <c r="E19">
        <f>IF(A19="","",IF(ISNUMBER(SEARCH("GenSta",A19)),100,IF(ISNUMBER(SEARCH("ES",A19)),50*$O$3,IF(ISNUMBER(SEARCH("Ld",A19)),2*R19,""))))</f>
        <v>100</v>
      </c>
      <c r="G19" t="str">
        <f t="shared" si="2"/>
        <v>qgini</v>
      </c>
      <c r="H19">
        <f t="shared" si="3"/>
        <v>-100</v>
      </c>
      <c r="I19">
        <f t="shared" si="4"/>
        <v>100</v>
      </c>
      <c r="K19" t="str">
        <f t="shared" si="5"/>
        <v>GEN</v>
      </c>
      <c r="Q19" s="2" t="str">
        <f>IF((_xlfn.XLOOKUP(A19,StatGen!A:A,StatGen!B:B," ")=0),(""),(_xlfn.IFNA(_xlfn.XLOOKUP(A19,StatGen!A:A,StatGen!B:B," "),"")))</f>
        <v xml:space="preserve"> </v>
      </c>
      <c r="R19" s="2" t="str">
        <f>IF((_xlfn.XLOOKUP(A19,Loads!A:A,Loads!B:B," ")=0),(""),(_xlfn.IFNA(_xlfn.XLOOKUP(A19,Loads!A:A,Loads!B:B," "),"")))</f>
        <v xml:space="preserve"> </v>
      </c>
    </row>
    <row r="20" spans="1:18" x14ac:dyDescent="0.25">
      <c r="A20" t="s">
        <v>742</v>
      </c>
      <c r="B20" t="str">
        <f t="shared" si="0"/>
        <v>ElmGenstat</v>
      </c>
      <c r="C20" t="str">
        <f t="shared" si="1"/>
        <v>pgini</v>
      </c>
      <c r="D20">
        <f>IF(A20="","",IF(ISNUMBER(SEARCH("GenSta",A20)),0,IF(ISNUMBER(SEARCH("ES",A20)),-50*$O$3,IF(ISNUMBER(SEARCH("Ld",A20)),0.2*E20,""))))</f>
        <v>0</v>
      </c>
      <c r="E20">
        <f>IF(A20="","",IF(ISNUMBER(SEARCH("GenSta",A20)),100,IF(ISNUMBER(SEARCH("ES",A20)),50*$O$3,IF(ISNUMBER(SEARCH("Ld",A20)),2*R20,""))))</f>
        <v>100</v>
      </c>
      <c r="G20" t="str">
        <f t="shared" si="2"/>
        <v>qgini</v>
      </c>
      <c r="H20">
        <f t="shared" si="3"/>
        <v>-100</v>
      </c>
      <c r="I20">
        <f t="shared" si="4"/>
        <v>100</v>
      </c>
      <c r="K20" t="str">
        <f t="shared" si="5"/>
        <v>GEN</v>
      </c>
      <c r="Q20" s="2" t="str">
        <f>IF((_xlfn.XLOOKUP(A20,StatGen!A:A,StatGen!B:B," ")=0),(""),(_xlfn.IFNA(_xlfn.XLOOKUP(A20,StatGen!A:A,StatGen!B:B," "),"")))</f>
        <v xml:space="preserve"> </v>
      </c>
      <c r="R20" s="2" t="str">
        <f>IF((_xlfn.XLOOKUP(A20,Loads!A:A,Loads!B:B," ")=0),(""),(_xlfn.IFNA(_xlfn.XLOOKUP(A20,Loads!A:A,Loads!B:B," "),"")))</f>
        <v xml:space="preserve"> </v>
      </c>
    </row>
    <row r="21" spans="1:18" x14ac:dyDescent="0.25">
      <c r="A21" t="s">
        <v>743</v>
      </c>
      <c r="B21" t="str">
        <f t="shared" si="0"/>
        <v>ElmGenstat</v>
      </c>
      <c r="C21" t="str">
        <f t="shared" si="1"/>
        <v>pgini</v>
      </c>
      <c r="D21">
        <f>IF(A21="","",IF(ISNUMBER(SEARCH("GenSta",A21)),0,IF(ISNUMBER(SEARCH("ES",A21)),-50*$O$3,IF(ISNUMBER(SEARCH("Ld",A21)),0.2*E21,""))))</f>
        <v>0</v>
      </c>
      <c r="E21">
        <f>IF(A21="","",IF(ISNUMBER(SEARCH("GenSta",A21)),100,IF(ISNUMBER(SEARCH("ES",A21)),50*$O$3,IF(ISNUMBER(SEARCH("Ld",A21)),2*R21,""))))</f>
        <v>100</v>
      </c>
      <c r="G21" t="str">
        <f t="shared" si="2"/>
        <v>qgini</v>
      </c>
      <c r="H21">
        <f t="shared" si="3"/>
        <v>-100</v>
      </c>
      <c r="I21">
        <f t="shared" si="4"/>
        <v>100</v>
      </c>
      <c r="K21" t="str">
        <f t="shared" si="5"/>
        <v>GEN</v>
      </c>
      <c r="Q21" s="2" t="str">
        <f>IF((_xlfn.XLOOKUP(A21,StatGen!A:A,StatGen!B:B," ")=0),(""),(_xlfn.IFNA(_xlfn.XLOOKUP(A21,StatGen!A:A,StatGen!B:B," "),"")))</f>
        <v xml:space="preserve"> </v>
      </c>
      <c r="R21" s="2" t="str">
        <f>IF((_xlfn.XLOOKUP(A21,Loads!A:A,Loads!B:B," ")=0),(""),(_xlfn.IFNA(_xlfn.XLOOKUP(A21,Loads!A:A,Loads!B:B," "),"")))</f>
        <v xml:space="preserve"> </v>
      </c>
    </row>
    <row r="22" spans="1:18" x14ac:dyDescent="0.25">
      <c r="A22" t="s">
        <v>744</v>
      </c>
      <c r="B22" t="str">
        <f t="shared" si="0"/>
        <v>ElmGenstat</v>
      </c>
      <c r="C22" t="str">
        <f t="shared" si="1"/>
        <v>pgini</v>
      </c>
      <c r="D22">
        <f>IF(A22="","",IF(ISNUMBER(SEARCH("GenSta",A22)),0,IF(ISNUMBER(SEARCH("ES",A22)),-50*$O$3,IF(ISNUMBER(SEARCH("Ld",A22)),0.2*E22,""))))</f>
        <v>0</v>
      </c>
      <c r="E22">
        <f>IF(A22="","",IF(ISNUMBER(SEARCH("GenSta",A22)),100,IF(ISNUMBER(SEARCH("ES",A22)),50*$O$3,IF(ISNUMBER(SEARCH("Ld",A22)),2*R22,""))))</f>
        <v>100</v>
      </c>
      <c r="G22" t="str">
        <f t="shared" si="2"/>
        <v>qgini</v>
      </c>
      <c r="H22">
        <f t="shared" si="3"/>
        <v>-100</v>
      </c>
      <c r="I22">
        <f t="shared" si="4"/>
        <v>100</v>
      </c>
      <c r="K22" t="str">
        <f t="shared" si="5"/>
        <v>GEN</v>
      </c>
      <c r="Q22" s="2" t="str">
        <f>IF((_xlfn.XLOOKUP(A22,StatGen!A:A,StatGen!B:B," ")=0),(""),(_xlfn.IFNA(_xlfn.XLOOKUP(A22,StatGen!A:A,StatGen!B:B," "),"")))</f>
        <v xml:space="preserve"> </v>
      </c>
      <c r="R22" s="2" t="str">
        <f>IF((_xlfn.XLOOKUP(A22,Loads!A:A,Loads!B:B," ")=0),(""),(_xlfn.IFNA(_xlfn.XLOOKUP(A22,Loads!A:A,Loads!B:B," "),"")))</f>
        <v xml:space="preserve"> </v>
      </c>
    </row>
    <row r="23" spans="1:18" x14ac:dyDescent="0.25">
      <c r="A23" t="s">
        <v>745</v>
      </c>
      <c r="B23" t="str">
        <f t="shared" si="0"/>
        <v>ElmGenstat</v>
      </c>
      <c r="C23" t="str">
        <f t="shared" si="1"/>
        <v>pgini</v>
      </c>
      <c r="D23">
        <f>IF(A23="","",IF(ISNUMBER(SEARCH("GenSta",A23)),0,IF(ISNUMBER(SEARCH("ES",A23)),-50*$O$3,IF(ISNUMBER(SEARCH("Ld",A23)),0.2*E23,""))))</f>
        <v>0</v>
      </c>
      <c r="E23">
        <f>IF(A23="","",IF(ISNUMBER(SEARCH("GenSta",A23)),100,IF(ISNUMBER(SEARCH("ES",A23)),50*$O$3,IF(ISNUMBER(SEARCH("Ld",A23)),2*R23,""))))</f>
        <v>100</v>
      </c>
      <c r="G23" t="str">
        <f t="shared" si="2"/>
        <v>qgini</v>
      </c>
      <c r="H23">
        <f t="shared" si="3"/>
        <v>-100</v>
      </c>
      <c r="I23">
        <f t="shared" si="4"/>
        <v>100</v>
      </c>
      <c r="K23" t="str">
        <f t="shared" si="5"/>
        <v>GEN</v>
      </c>
      <c r="Q23" s="2" t="str">
        <f>IF((_xlfn.XLOOKUP(A23,StatGen!A:A,StatGen!B:B," ")=0),(""),(_xlfn.IFNA(_xlfn.XLOOKUP(A23,StatGen!A:A,StatGen!B:B," "),"")))</f>
        <v xml:space="preserve"> </v>
      </c>
      <c r="R23" s="2" t="str">
        <f>IF((_xlfn.XLOOKUP(A23,Loads!A:A,Loads!B:B," ")=0),(""),(_xlfn.IFNA(_xlfn.XLOOKUP(A23,Loads!A:A,Loads!B:B," "),"")))</f>
        <v xml:space="preserve"> </v>
      </c>
    </row>
    <row r="24" spans="1:18" x14ac:dyDescent="0.25">
      <c r="A24" t="s">
        <v>746</v>
      </c>
      <c r="B24" t="str">
        <f t="shared" si="0"/>
        <v>ElmGenstat</v>
      </c>
      <c r="C24" t="str">
        <f t="shared" si="1"/>
        <v>pgini</v>
      </c>
      <c r="D24">
        <f>IF(A24="","",IF(ISNUMBER(SEARCH("GenSta",A24)),0,IF(ISNUMBER(SEARCH("ES",A24)),-50*$O$3,IF(ISNUMBER(SEARCH("Ld",A24)),0.2*E24,""))))</f>
        <v>0</v>
      </c>
      <c r="E24">
        <f>IF(A24="","",IF(ISNUMBER(SEARCH("GenSta",A24)),100,IF(ISNUMBER(SEARCH("ES",A24)),50*$O$3,IF(ISNUMBER(SEARCH("Ld",A24)),2*R24,""))))</f>
        <v>100</v>
      </c>
      <c r="G24" t="str">
        <f t="shared" si="2"/>
        <v>qgini</v>
      </c>
      <c r="H24">
        <f t="shared" si="3"/>
        <v>-100</v>
      </c>
      <c r="I24">
        <f t="shared" si="4"/>
        <v>100</v>
      </c>
      <c r="K24" t="str">
        <f t="shared" si="5"/>
        <v>GEN</v>
      </c>
      <c r="Q24" s="2" t="str">
        <f>IF((_xlfn.XLOOKUP(A24,StatGen!A:A,StatGen!B:B," ")=0),(""),(_xlfn.IFNA(_xlfn.XLOOKUP(A24,StatGen!A:A,StatGen!B:B," "),"")))</f>
        <v xml:space="preserve"> </v>
      </c>
      <c r="R24" s="2" t="str">
        <f>IF((_xlfn.XLOOKUP(A24,Loads!A:A,Loads!B:B," ")=0),(""),(_xlfn.IFNA(_xlfn.XLOOKUP(A24,Loads!A:A,Loads!B:B," "),"")))</f>
        <v xml:space="preserve"> </v>
      </c>
    </row>
    <row r="25" spans="1:18" x14ac:dyDescent="0.25">
      <c r="A25" t="s">
        <v>747</v>
      </c>
      <c r="B25" t="str">
        <f t="shared" si="0"/>
        <v>ElmGenstat</v>
      </c>
      <c r="C25" t="str">
        <f t="shared" si="1"/>
        <v>pgini</v>
      </c>
      <c r="D25">
        <f>IF(A25="","",IF(ISNUMBER(SEARCH("GenSta",A25)),0,IF(ISNUMBER(SEARCH("ES",A25)),-50*$O$3,IF(ISNUMBER(SEARCH("Ld",A25)),0.2*E25,""))))</f>
        <v>0</v>
      </c>
      <c r="E25">
        <f>IF(A25="","",IF(ISNUMBER(SEARCH("GenSta",A25)),100,IF(ISNUMBER(SEARCH("ES",A25)),50*$O$3,IF(ISNUMBER(SEARCH("Ld",A25)),2*R25,""))))</f>
        <v>100</v>
      </c>
      <c r="G25" t="str">
        <f t="shared" si="2"/>
        <v>qgini</v>
      </c>
      <c r="H25">
        <f t="shared" si="3"/>
        <v>-100</v>
      </c>
      <c r="I25">
        <f t="shared" si="4"/>
        <v>100</v>
      </c>
      <c r="K25" t="str">
        <f t="shared" si="5"/>
        <v>GEN</v>
      </c>
      <c r="Q25" s="2" t="str">
        <f>IF((_xlfn.XLOOKUP(A25,StatGen!A:A,StatGen!B:B," ")=0),(""),(_xlfn.IFNA(_xlfn.XLOOKUP(A25,StatGen!A:A,StatGen!B:B," "),"")))</f>
        <v xml:space="preserve"> </v>
      </c>
      <c r="R25" s="2" t="str">
        <f>IF((_xlfn.XLOOKUP(A25,Loads!A:A,Loads!B:B," ")=0),(""),(_xlfn.IFNA(_xlfn.XLOOKUP(A25,Loads!A:A,Loads!B:B," "),"")))</f>
        <v xml:space="preserve"> </v>
      </c>
    </row>
    <row r="26" spans="1:18" x14ac:dyDescent="0.25">
      <c r="A26" t="s">
        <v>748</v>
      </c>
      <c r="B26" t="str">
        <f t="shared" si="0"/>
        <v>ElmGenstat</v>
      </c>
      <c r="C26" t="str">
        <f t="shared" si="1"/>
        <v>pgini</v>
      </c>
      <c r="D26">
        <f>IF(A26="","",IF(ISNUMBER(SEARCH("GenSta",A26)),0,IF(ISNUMBER(SEARCH("ES",A26)),-50*$O$3,IF(ISNUMBER(SEARCH("Ld",A26)),0.2*E26,""))))</f>
        <v>0</v>
      </c>
      <c r="E26">
        <f>IF(A26="","",IF(ISNUMBER(SEARCH("GenSta",A26)),100,IF(ISNUMBER(SEARCH("ES",A26)),50*$O$3,IF(ISNUMBER(SEARCH("Ld",A26)),2*R26,""))))</f>
        <v>100</v>
      </c>
      <c r="G26" t="str">
        <f t="shared" si="2"/>
        <v>qgini</v>
      </c>
      <c r="H26">
        <f t="shared" si="3"/>
        <v>-100</v>
      </c>
      <c r="I26">
        <f t="shared" si="4"/>
        <v>100</v>
      </c>
      <c r="K26" t="str">
        <f t="shared" si="5"/>
        <v>GEN</v>
      </c>
      <c r="Q26" s="2" t="str">
        <f>IF((_xlfn.XLOOKUP(A26,StatGen!A:A,StatGen!B:B," ")=0),(""),(_xlfn.IFNA(_xlfn.XLOOKUP(A26,StatGen!A:A,StatGen!B:B," "),"")))</f>
        <v xml:space="preserve"> </v>
      </c>
      <c r="R26" s="2" t="str">
        <f>IF((_xlfn.XLOOKUP(A26,Loads!A:A,Loads!B:B," ")=0),(""),(_xlfn.IFNA(_xlfn.XLOOKUP(A26,Loads!A:A,Loads!B:B," "),"")))</f>
        <v xml:space="preserve"> </v>
      </c>
    </row>
    <row r="27" spans="1:18" x14ac:dyDescent="0.25">
      <c r="A27" t="s">
        <v>749</v>
      </c>
      <c r="B27" t="str">
        <f t="shared" si="0"/>
        <v>ElmGenstat</v>
      </c>
      <c r="C27" t="str">
        <f t="shared" si="1"/>
        <v>pgini</v>
      </c>
      <c r="D27">
        <f>IF(A27="","",IF(ISNUMBER(SEARCH("GenSta",A27)),0,IF(ISNUMBER(SEARCH("ES",A27)),-50*$O$3,IF(ISNUMBER(SEARCH("Ld",A27)),0.2*E27,""))))</f>
        <v>0</v>
      </c>
      <c r="E27">
        <f>IF(A27="","",IF(ISNUMBER(SEARCH("GenSta",A27)),100,IF(ISNUMBER(SEARCH("ES",A27)),50*$O$3,IF(ISNUMBER(SEARCH("Ld",A27)),2*R27,""))))</f>
        <v>100</v>
      </c>
      <c r="G27" t="str">
        <f t="shared" si="2"/>
        <v>qgini</v>
      </c>
      <c r="H27">
        <f t="shared" si="3"/>
        <v>-100</v>
      </c>
      <c r="I27">
        <f t="shared" si="4"/>
        <v>100</v>
      </c>
      <c r="K27" t="str">
        <f t="shared" si="5"/>
        <v>GEN</v>
      </c>
      <c r="Q27" s="2" t="str">
        <f>IF((_xlfn.XLOOKUP(A27,StatGen!A:A,StatGen!B:B," ")=0),(""),(_xlfn.IFNA(_xlfn.XLOOKUP(A27,StatGen!A:A,StatGen!B:B," "),"")))</f>
        <v xml:space="preserve"> </v>
      </c>
      <c r="R27" s="2" t="str">
        <f>IF((_xlfn.XLOOKUP(A27,Loads!A:A,Loads!B:B," ")=0),(""),(_xlfn.IFNA(_xlfn.XLOOKUP(A27,Loads!A:A,Loads!B:B," "),"")))</f>
        <v xml:space="preserve"> </v>
      </c>
    </row>
    <row r="28" spans="1:18" x14ac:dyDescent="0.25">
      <c r="A28" t="s">
        <v>750</v>
      </c>
      <c r="B28" t="str">
        <f t="shared" si="0"/>
        <v>ElmGenstat</v>
      </c>
      <c r="C28" t="str">
        <f t="shared" si="1"/>
        <v>pgini</v>
      </c>
      <c r="D28">
        <f>IF(A28="","",IF(ISNUMBER(SEARCH("GenSta",A28)),0,IF(ISNUMBER(SEARCH("ES",A28)),-50*$O$3,IF(ISNUMBER(SEARCH("Ld",A28)),0.2*E28,""))))</f>
        <v>0</v>
      </c>
      <c r="E28">
        <f>IF(A28="","",IF(ISNUMBER(SEARCH("GenSta",A28)),100,IF(ISNUMBER(SEARCH("ES",A28)),50*$O$3,IF(ISNUMBER(SEARCH("Ld",A28)),2*R28,""))))</f>
        <v>100</v>
      </c>
      <c r="G28" t="str">
        <f t="shared" si="2"/>
        <v>qgini</v>
      </c>
      <c r="H28">
        <f t="shared" si="3"/>
        <v>-100</v>
      </c>
      <c r="I28">
        <f t="shared" si="4"/>
        <v>100</v>
      </c>
      <c r="K28" t="str">
        <f t="shared" si="5"/>
        <v>GEN</v>
      </c>
      <c r="Q28" s="2" t="str">
        <f>IF((_xlfn.XLOOKUP(A28,StatGen!A:A,StatGen!B:B," ")=0),(""),(_xlfn.IFNA(_xlfn.XLOOKUP(A28,StatGen!A:A,StatGen!B:B," "),"")))</f>
        <v xml:space="preserve"> </v>
      </c>
      <c r="R28" s="2" t="str">
        <f>IF((_xlfn.XLOOKUP(A28,Loads!A:A,Loads!B:B," ")=0),(""),(_xlfn.IFNA(_xlfn.XLOOKUP(A28,Loads!A:A,Loads!B:B," "),"")))</f>
        <v xml:space="preserve"> </v>
      </c>
    </row>
    <row r="29" spans="1:18" x14ac:dyDescent="0.25">
      <c r="A29" t="s">
        <v>751</v>
      </c>
      <c r="B29" t="str">
        <f t="shared" si="0"/>
        <v>ElmGenstat</v>
      </c>
      <c r="C29" t="str">
        <f t="shared" si="1"/>
        <v>pgini</v>
      </c>
      <c r="D29">
        <f>IF(A29="","",IF(ISNUMBER(SEARCH("GenSta",A29)),0,IF(ISNUMBER(SEARCH("ES",A29)),-50*$O$3,IF(ISNUMBER(SEARCH("Ld",A29)),0.2*E29,""))))</f>
        <v>0</v>
      </c>
      <c r="E29">
        <f>IF(A29="","",IF(ISNUMBER(SEARCH("GenSta",A29)),100,IF(ISNUMBER(SEARCH("ES",A29)),50*$O$3,IF(ISNUMBER(SEARCH("Ld",A29)),2*R29,""))))</f>
        <v>100</v>
      </c>
      <c r="G29" t="str">
        <f t="shared" si="2"/>
        <v>qgini</v>
      </c>
      <c r="H29">
        <f t="shared" si="3"/>
        <v>-100</v>
      </c>
      <c r="I29">
        <f t="shared" si="4"/>
        <v>100</v>
      </c>
      <c r="K29" t="str">
        <f t="shared" si="5"/>
        <v>GEN</v>
      </c>
      <c r="Q29" s="2" t="str">
        <f>IF((_xlfn.XLOOKUP(A29,StatGen!A:A,StatGen!B:B," ")=0),(""),(_xlfn.IFNA(_xlfn.XLOOKUP(A29,StatGen!A:A,StatGen!B:B," "),"")))</f>
        <v xml:space="preserve"> </v>
      </c>
      <c r="R29" s="2" t="str">
        <f>IF((_xlfn.XLOOKUP(A29,Loads!A:A,Loads!B:B," ")=0),(""),(_xlfn.IFNA(_xlfn.XLOOKUP(A29,Loads!A:A,Loads!B:B," "),"")))</f>
        <v xml:space="preserve"> </v>
      </c>
    </row>
    <row r="30" spans="1:18" x14ac:dyDescent="0.25">
      <c r="A30" t="s">
        <v>752</v>
      </c>
      <c r="B30" t="str">
        <f t="shared" si="0"/>
        <v>ElmGenstat</v>
      </c>
      <c r="C30" t="str">
        <f t="shared" si="1"/>
        <v>pgini</v>
      </c>
      <c r="D30">
        <f>IF(A30="","",IF(ISNUMBER(SEARCH("GenSta",A30)),0,IF(ISNUMBER(SEARCH("ES",A30)),-50*$O$3,IF(ISNUMBER(SEARCH("Ld",A30)),0.2*E30,""))))</f>
        <v>0</v>
      </c>
      <c r="E30">
        <f>IF(A30="","",IF(ISNUMBER(SEARCH("GenSta",A30)),100,IF(ISNUMBER(SEARCH("ES",A30)),50*$O$3,IF(ISNUMBER(SEARCH("Ld",A30)),2*R30,""))))</f>
        <v>100</v>
      </c>
      <c r="G30" t="str">
        <f t="shared" si="2"/>
        <v>qgini</v>
      </c>
      <c r="H30">
        <f t="shared" si="3"/>
        <v>-100</v>
      </c>
      <c r="I30">
        <f t="shared" si="4"/>
        <v>100</v>
      </c>
      <c r="K30" t="str">
        <f t="shared" si="5"/>
        <v>GEN</v>
      </c>
      <c r="Q30" s="2" t="str">
        <f>IF((_xlfn.XLOOKUP(A30,StatGen!A:A,StatGen!B:B," ")=0),(""),(_xlfn.IFNA(_xlfn.XLOOKUP(A30,StatGen!A:A,StatGen!B:B," "),"")))</f>
        <v xml:space="preserve"> </v>
      </c>
      <c r="R30" s="2" t="str">
        <f>IF((_xlfn.XLOOKUP(A30,Loads!A:A,Loads!B:B," ")=0),(""),(_xlfn.IFNA(_xlfn.XLOOKUP(A30,Loads!A:A,Loads!B:B," "),"")))</f>
        <v xml:space="preserve"> </v>
      </c>
    </row>
    <row r="31" spans="1:18" x14ac:dyDescent="0.25">
      <c r="A31" t="s">
        <v>753</v>
      </c>
      <c r="B31" t="str">
        <f t="shared" si="0"/>
        <v>ElmGenstat</v>
      </c>
      <c r="C31" t="str">
        <f t="shared" si="1"/>
        <v>pgini</v>
      </c>
      <c r="D31">
        <f>IF(A31="","",IF(ISNUMBER(SEARCH("GenSta",A31)),0,IF(ISNUMBER(SEARCH("ES",A31)),-50*$O$3,IF(ISNUMBER(SEARCH("Ld",A31)),0.2*E31,""))))</f>
        <v>0</v>
      </c>
      <c r="E31">
        <f>IF(A31="","",IF(ISNUMBER(SEARCH("GenSta",A31)),100,IF(ISNUMBER(SEARCH("ES",A31)),50*$O$3,IF(ISNUMBER(SEARCH("Ld",A31)),2*R31,""))))</f>
        <v>100</v>
      </c>
      <c r="G31" t="str">
        <f t="shared" si="2"/>
        <v>qgini</v>
      </c>
      <c r="H31">
        <f t="shared" si="3"/>
        <v>-100</v>
      </c>
      <c r="I31">
        <f t="shared" si="4"/>
        <v>100</v>
      </c>
      <c r="K31" t="str">
        <f t="shared" si="5"/>
        <v>GEN</v>
      </c>
      <c r="Q31" s="2" t="str">
        <f>IF((_xlfn.XLOOKUP(A31,StatGen!A:A,StatGen!B:B," ")=0),(""),(_xlfn.IFNA(_xlfn.XLOOKUP(A31,StatGen!A:A,StatGen!B:B," "),"")))</f>
        <v xml:space="preserve"> </v>
      </c>
      <c r="R31" s="2" t="str">
        <f>IF((_xlfn.XLOOKUP(A31,Loads!A:A,Loads!B:B," ")=0),(""),(_xlfn.IFNA(_xlfn.XLOOKUP(A31,Loads!A:A,Loads!B:B," "),"")))</f>
        <v xml:space="preserve"> </v>
      </c>
    </row>
    <row r="32" spans="1:18" x14ac:dyDescent="0.25">
      <c r="A32" t="s">
        <v>754</v>
      </c>
      <c r="B32" t="str">
        <f t="shared" si="0"/>
        <v>ElmGenstat</v>
      </c>
      <c r="C32" t="str">
        <f t="shared" si="1"/>
        <v>pgini</v>
      </c>
      <c r="D32">
        <f>IF(A32="","",IF(ISNUMBER(SEARCH("GenSta",A32)),0,IF(ISNUMBER(SEARCH("ES",A32)),-50*$O$3,IF(ISNUMBER(SEARCH("Ld",A32)),0.2*E32,""))))</f>
        <v>0</v>
      </c>
      <c r="E32">
        <f>IF(A32="","",IF(ISNUMBER(SEARCH("GenSta",A32)),100,IF(ISNUMBER(SEARCH("ES",A32)),50*$O$3,IF(ISNUMBER(SEARCH("Ld",A32)),2*R32,""))))</f>
        <v>100</v>
      </c>
      <c r="G32" t="str">
        <f t="shared" si="2"/>
        <v>qgini</v>
      </c>
      <c r="H32">
        <f t="shared" si="3"/>
        <v>-100</v>
      </c>
      <c r="I32">
        <f t="shared" si="4"/>
        <v>100</v>
      </c>
      <c r="K32" t="str">
        <f t="shared" si="5"/>
        <v>GEN</v>
      </c>
      <c r="Q32" s="2" t="str">
        <f>IF((_xlfn.XLOOKUP(A32,StatGen!A:A,StatGen!B:B," ")=0),(""),(_xlfn.IFNA(_xlfn.XLOOKUP(A32,StatGen!A:A,StatGen!B:B," "),"")))</f>
        <v xml:space="preserve"> </v>
      </c>
      <c r="R32" s="2" t="str">
        <f>IF((_xlfn.XLOOKUP(A32,Loads!A:A,Loads!B:B," ")=0),(""),(_xlfn.IFNA(_xlfn.XLOOKUP(A32,Loads!A:A,Loads!B:B," "),"")))</f>
        <v xml:space="preserve"> </v>
      </c>
    </row>
    <row r="33" spans="1:18" x14ac:dyDescent="0.25">
      <c r="A33" t="s">
        <v>755</v>
      </c>
      <c r="B33" t="str">
        <f t="shared" si="0"/>
        <v>ElmGenstat</v>
      </c>
      <c r="C33" t="str">
        <f t="shared" si="1"/>
        <v>pgini</v>
      </c>
      <c r="D33">
        <f>IF(A33="","",IF(ISNUMBER(SEARCH("GenSta",A33)),0,IF(ISNUMBER(SEARCH("ES",A33)),-50*$O$3,IF(ISNUMBER(SEARCH("Ld",A33)),0.2*E33,""))))</f>
        <v>0</v>
      </c>
      <c r="E33">
        <f>IF(A33="","",IF(ISNUMBER(SEARCH("GenSta",A33)),100,IF(ISNUMBER(SEARCH("ES",A33)),50*$O$3,IF(ISNUMBER(SEARCH("Ld",A33)),2*R33,""))))</f>
        <v>100</v>
      </c>
      <c r="G33" t="str">
        <f t="shared" si="2"/>
        <v>qgini</v>
      </c>
      <c r="H33">
        <f t="shared" si="3"/>
        <v>-100</v>
      </c>
      <c r="I33">
        <f t="shared" si="4"/>
        <v>100</v>
      </c>
      <c r="K33" t="str">
        <f t="shared" si="5"/>
        <v>GEN</v>
      </c>
      <c r="Q33" s="2" t="str">
        <f>IF((_xlfn.XLOOKUP(A33,StatGen!A:A,StatGen!B:B," ")=0),(""),(_xlfn.IFNA(_xlfn.XLOOKUP(A33,StatGen!A:A,StatGen!B:B," "),"")))</f>
        <v xml:space="preserve"> </v>
      </c>
      <c r="R33" s="2" t="str">
        <f>IF((_xlfn.XLOOKUP(A33,Loads!A:A,Loads!B:B," ")=0),(""),(_xlfn.IFNA(_xlfn.XLOOKUP(A33,Loads!A:A,Loads!B:B," "),"")))</f>
        <v xml:space="preserve"> </v>
      </c>
    </row>
    <row r="34" spans="1:18" x14ac:dyDescent="0.25">
      <c r="A34" t="s">
        <v>756</v>
      </c>
      <c r="B34" t="str">
        <f t="shared" si="0"/>
        <v>ElmGenstat</v>
      </c>
      <c r="C34" t="str">
        <f t="shared" si="1"/>
        <v>pgini</v>
      </c>
      <c r="D34">
        <f>IF(A34="","",IF(ISNUMBER(SEARCH("GenSta",A34)),0,IF(ISNUMBER(SEARCH("ES",A34)),-50*$O$3,IF(ISNUMBER(SEARCH("Ld",A34)),0.2*E34,""))))</f>
        <v>0</v>
      </c>
      <c r="E34">
        <f>IF(A34="","",IF(ISNUMBER(SEARCH("GenSta",A34)),100,IF(ISNUMBER(SEARCH("ES",A34)),50*$O$3,IF(ISNUMBER(SEARCH("Ld",A34)),2*R34,""))))</f>
        <v>100</v>
      </c>
      <c r="G34" t="str">
        <f t="shared" si="2"/>
        <v>qgini</v>
      </c>
      <c r="H34">
        <f t="shared" si="3"/>
        <v>-100</v>
      </c>
      <c r="I34">
        <f t="shared" si="4"/>
        <v>100</v>
      </c>
      <c r="K34" t="str">
        <f t="shared" si="5"/>
        <v>GEN</v>
      </c>
      <c r="Q34" s="2" t="str">
        <f>IF((_xlfn.XLOOKUP(A34,StatGen!A:A,StatGen!B:B," ")=0),(""),(_xlfn.IFNA(_xlfn.XLOOKUP(A34,StatGen!A:A,StatGen!B:B," "),"")))</f>
        <v xml:space="preserve"> </v>
      </c>
      <c r="R34" s="2" t="str">
        <f>IF((_xlfn.XLOOKUP(A34,Loads!A:A,Loads!B:B," ")=0),(""),(_xlfn.IFNA(_xlfn.XLOOKUP(A34,Loads!A:A,Loads!B:B," "),"")))</f>
        <v xml:space="preserve"> </v>
      </c>
    </row>
    <row r="35" spans="1:18" x14ac:dyDescent="0.25">
      <c r="A35" t="s">
        <v>757</v>
      </c>
      <c r="B35" t="str">
        <f t="shared" si="0"/>
        <v>ElmGenstat</v>
      </c>
      <c r="C35" t="str">
        <f t="shared" si="1"/>
        <v>pgini</v>
      </c>
      <c r="D35">
        <f>IF(A35="","",IF(ISNUMBER(SEARCH("GenSta",A35)),0,IF(ISNUMBER(SEARCH("ES",A35)),-50*$O$3,IF(ISNUMBER(SEARCH("Ld",A35)),0.2*E35,""))))</f>
        <v>0</v>
      </c>
      <c r="E35">
        <f>IF(A35="","",IF(ISNUMBER(SEARCH("GenSta",A35)),100,IF(ISNUMBER(SEARCH("ES",A35)),50*$O$3,IF(ISNUMBER(SEARCH("Ld",A35)),2*R35,""))))</f>
        <v>100</v>
      </c>
      <c r="G35" t="str">
        <f t="shared" si="2"/>
        <v>qgini</v>
      </c>
      <c r="H35">
        <f t="shared" si="3"/>
        <v>-100</v>
      </c>
      <c r="I35">
        <f t="shared" si="4"/>
        <v>100</v>
      </c>
      <c r="K35" t="str">
        <f t="shared" si="5"/>
        <v>GEN</v>
      </c>
      <c r="Q35" s="2" t="str">
        <f>IF((_xlfn.XLOOKUP(A35,StatGen!A:A,StatGen!B:B," ")=0),(""),(_xlfn.IFNA(_xlfn.XLOOKUP(A35,StatGen!A:A,StatGen!B:B," "),"")))</f>
        <v xml:space="preserve"> </v>
      </c>
      <c r="R35" s="2" t="str">
        <f>IF((_xlfn.XLOOKUP(A35,Loads!A:A,Loads!B:B," ")=0),(""),(_xlfn.IFNA(_xlfn.XLOOKUP(A35,Loads!A:A,Loads!B:B," "),"")))</f>
        <v xml:space="preserve"> </v>
      </c>
    </row>
    <row r="36" spans="1:18" x14ac:dyDescent="0.25">
      <c r="A36" t="s">
        <v>758</v>
      </c>
      <c r="B36" t="str">
        <f t="shared" si="0"/>
        <v>ElmGenstat</v>
      </c>
      <c r="C36" t="str">
        <f t="shared" si="1"/>
        <v>pgini</v>
      </c>
      <c r="D36">
        <f>IF(A36="","",IF(ISNUMBER(SEARCH("GenSta",A36)),0,IF(ISNUMBER(SEARCH("ES",A36)),-50*$O$3,IF(ISNUMBER(SEARCH("Ld",A36)),0.2*E36,""))))</f>
        <v>0</v>
      </c>
      <c r="E36">
        <f>IF(A36="","",IF(ISNUMBER(SEARCH("GenSta",A36)),100,IF(ISNUMBER(SEARCH("ES",A36)),50*$O$3,IF(ISNUMBER(SEARCH("Ld",A36)),2*R36,""))))</f>
        <v>100</v>
      </c>
      <c r="G36" t="str">
        <f t="shared" si="2"/>
        <v>qgini</v>
      </c>
      <c r="H36">
        <f t="shared" si="3"/>
        <v>-100</v>
      </c>
      <c r="I36">
        <f t="shared" si="4"/>
        <v>100</v>
      </c>
      <c r="K36" t="str">
        <f t="shared" si="5"/>
        <v>GEN</v>
      </c>
      <c r="Q36" s="2" t="str">
        <f>IF((_xlfn.XLOOKUP(A36,StatGen!A:A,StatGen!B:B," ")=0),(""),(_xlfn.IFNA(_xlfn.XLOOKUP(A36,StatGen!A:A,StatGen!B:B," "),"")))</f>
        <v xml:space="preserve"> </v>
      </c>
      <c r="R36" s="2" t="str">
        <f>IF((_xlfn.XLOOKUP(A36,Loads!A:A,Loads!B:B," ")=0),(""),(_xlfn.IFNA(_xlfn.XLOOKUP(A36,Loads!A:A,Loads!B:B," "),"")))</f>
        <v xml:space="preserve"> </v>
      </c>
    </row>
    <row r="37" spans="1:18" x14ac:dyDescent="0.25">
      <c r="B37" t="str">
        <f t="shared" si="0"/>
        <v/>
      </c>
      <c r="C37" t="str">
        <f t="shared" si="1"/>
        <v/>
      </c>
      <c r="D37" t="str">
        <f>IF(A37="","",IF(ISNUMBER(SEARCH("GenSta",A37)),0,IF(ISNUMBER(SEARCH("ES",A37)),-50*$O$3,IF(ISNUMBER(SEARCH("Ld",A37)),0.2*E37,""))))</f>
        <v/>
      </c>
      <c r="E37" t="str">
        <f>IF(A37="","",IF(ISNUMBER(SEARCH("GenSta",A37)),100,IF(ISNUMBER(SEARCH("ES",A37)),50*$O$3,IF(ISNUMBER(SEARCH("Ld",A37)),2*R37,""))))</f>
        <v/>
      </c>
      <c r="G37" t="str">
        <f t="shared" si="2"/>
        <v/>
      </c>
      <c r="H37" t="str">
        <f t="shared" si="3"/>
        <v/>
      </c>
      <c r="I37" t="str">
        <f t="shared" si="4"/>
        <v/>
      </c>
      <c r="K37" t="str">
        <f t="shared" si="5"/>
        <v/>
      </c>
      <c r="Q37" s="2" t="str">
        <f>IF((_xlfn.XLOOKUP(A37,StatGen!A:A,StatGen!B:B," ")=0),(""),(_xlfn.IFNA(_xlfn.XLOOKUP(A37,StatGen!A:A,StatGen!B:B," "),"")))</f>
        <v/>
      </c>
      <c r="R37" s="2" t="str">
        <f>IF((_xlfn.XLOOKUP(A37,Loads!A:A,Loads!B:B," ")=0),(""),(_xlfn.IFNA(_xlfn.XLOOKUP(A37,Loads!A:A,Loads!B:B," "),"")))</f>
        <v/>
      </c>
    </row>
    <row r="38" spans="1:18" x14ac:dyDescent="0.25">
      <c r="K38" t="str">
        <f t="shared" si="5"/>
        <v/>
      </c>
    </row>
    <row r="39" spans="1:18" x14ac:dyDescent="0.25">
      <c r="K39" t="str">
        <f t="shared" si="5"/>
        <v/>
      </c>
    </row>
    <row r="40" spans="1:18" x14ac:dyDescent="0.25">
      <c r="K40" t="str">
        <f t="shared" si="5"/>
        <v/>
      </c>
    </row>
    <row r="41" spans="1:18" x14ac:dyDescent="0.25">
      <c r="K41" t="str">
        <f t="shared" si="5"/>
        <v/>
      </c>
    </row>
    <row r="42" spans="1:18" x14ac:dyDescent="0.25">
      <c r="K42" t="str">
        <f t="shared" si="5"/>
        <v/>
      </c>
    </row>
    <row r="43" spans="1:18" x14ac:dyDescent="0.25">
      <c r="K43" t="str">
        <f t="shared" si="5"/>
        <v/>
      </c>
    </row>
    <row r="44" spans="1:18" x14ac:dyDescent="0.25">
      <c r="K44" t="str">
        <f t="shared" si="5"/>
        <v/>
      </c>
    </row>
    <row r="45" spans="1:18" x14ac:dyDescent="0.25">
      <c r="K45" t="str">
        <f t="shared" si="5"/>
        <v/>
      </c>
    </row>
    <row r="46" spans="1:18" x14ac:dyDescent="0.25">
      <c r="K46" t="str">
        <f t="shared" si="5"/>
        <v/>
      </c>
    </row>
    <row r="47" spans="1:18" x14ac:dyDescent="0.25">
      <c r="K47" t="str">
        <f t="shared" si="5"/>
        <v/>
      </c>
    </row>
    <row r="48" spans="1:18" x14ac:dyDescent="0.25">
      <c r="K48" t="str">
        <f t="shared" si="5"/>
        <v/>
      </c>
    </row>
    <row r="49" spans="11:11" x14ac:dyDescent="0.25">
      <c r="K49" t="str">
        <f t="shared" si="5"/>
        <v/>
      </c>
    </row>
    <row r="50" spans="11:11" x14ac:dyDescent="0.25">
      <c r="K50" t="str">
        <f t="shared" si="5"/>
        <v/>
      </c>
    </row>
    <row r="51" spans="11:11" x14ac:dyDescent="0.25">
      <c r="K51" t="str">
        <f t="shared" si="5"/>
        <v/>
      </c>
    </row>
    <row r="52" spans="11:11" x14ac:dyDescent="0.25">
      <c r="K52" t="str">
        <f t="shared" si="5"/>
        <v/>
      </c>
    </row>
    <row r="53" spans="11:11" x14ac:dyDescent="0.25">
      <c r="K53" t="str">
        <f t="shared" si="5"/>
        <v/>
      </c>
    </row>
    <row r="54" spans="11:11" x14ac:dyDescent="0.25">
      <c r="K54" t="str">
        <f t="shared" si="5"/>
        <v/>
      </c>
    </row>
    <row r="55" spans="11:11" x14ac:dyDescent="0.25">
      <c r="K55" t="str">
        <f t="shared" si="5"/>
        <v/>
      </c>
    </row>
    <row r="56" spans="11:11" x14ac:dyDescent="0.25">
      <c r="K56" t="str">
        <f t="shared" si="5"/>
        <v/>
      </c>
    </row>
    <row r="57" spans="11:11" x14ac:dyDescent="0.25">
      <c r="K57" t="str">
        <f t="shared" si="5"/>
        <v/>
      </c>
    </row>
    <row r="58" spans="11:11" x14ac:dyDescent="0.25">
      <c r="K58" t="str">
        <f t="shared" si="5"/>
        <v/>
      </c>
    </row>
    <row r="59" spans="11:11" x14ac:dyDescent="0.25">
      <c r="K59" t="str">
        <f t="shared" si="5"/>
        <v/>
      </c>
    </row>
    <row r="60" spans="11:11" x14ac:dyDescent="0.25">
      <c r="K60" t="str">
        <f t="shared" si="5"/>
        <v/>
      </c>
    </row>
    <row r="61" spans="11:11" x14ac:dyDescent="0.25">
      <c r="K61" t="str">
        <f t="shared" si="5"/>
        <v/>
      </c>
    </row>
    <row r="62" spans="11:11" x14ac:dyDescent="0.25">
      <c r="K62" t="str">
        <f t="shared" si="5"/>
        <v/>
      </c>
    </row>
    <row r="63" spans="11:11" x14ac:dyDescent="0.25">
      <c r="K63" t="str">
        <f t="shared" si="5"/>
        <v/>
      </c>
    </row>
    <row r="64" spans="11:11" x14ac:dyDescent="0.25">
      <c r="K64" t="str">
        <f t="shared" si="5"/>
        <v/>
      </c>
    </row>
    <row r="65" spans="11:11" x14ac:dyDescent="0.25">
      <c r="K65" t="str">
        <f t="shared" si="5"/>
        <v/>
      </c>
    </row>
    <row r="66" spans="11:11" x14ac:dyDescent="0.25">
      <c r="K66" t="str">
        <f t="shared" si="5"/>
        <v/>
      </c>
    </row>
    <row r="67" spans="11:11" x14ac:dyDescent="0.25">
      <c r="K67" t="str">
        <f t="shared" ref="K67:K130" si="6">IF(A67="","",IF(ISNUMBER(SEARCH("GenSta",A67)),"GEN",IF(ISNUMBER(SEARCH("ES",A67)),"STORAGE",IF(ISNUMBER(SEARCH("Ld",A67)),"LOAD",""))))</f>
        <v/>
      </c>
    </row>
    <row r="68" spans="11:11" x14ac:dyDescent="0.25">
      <c r="K68" t="str">
        <f t="shared" si="6"/>
        <v/>
      </c>
    </row>
    <row r="69" spans="11:11" x14ac:dyDescent="0.25">
      <c r="K69" t="str">
        <f t="shared" si="6"/>
        <v/>
      </c>
    </row>
    <row r="70" spans="11:11" x14ac:dyDescent="0.25">
      <c r="K70" t="str">
        <f t="shared" si="6"/>
        <v/>
      </c>
    </row>
    <row r="71" spans="11:11" x14ac:dyDescent="0.25">
      <c r="K71" t="str">
        <f t="shared" si="6"/>
        <v/>
      </c>
    </row>
    <row r="72" spans="11:11" x14ac:dyDescent="0.25">
      <c r="K72" t="str">
        <f t="shared" si="6"/>
        <v/>
      </c>
    </row>
    <row r="73" spans="11:11" x14ac:dyDescent="0.25">
      <c r="K73" t="str">
        <f t="shared" si="6"/>
        <v/>
      </c>
    </row>
    <row r="74" spans="11:11" x14ac:dyDescent="0.25">
      <c r="K74" t="str">
        <f t="shared" si="6"/>
        <v/>
      </c>
    </row>
    <row r="75" spans="11:11" x14ac:dyDescent="0.25">
      <c r="K75" t="str">
        <f t="shared" si="6"/>
        <v/>
      </c>
    </row>
    <row r="76" spans="11:11" x14ac:dyDescent="0.25">
      <c r="K76" t="str">
        <f t="shared" si="6"/>
        <v/>
      </c>
    </row>
    <row r="77" spans="11:11" x14ac:dyDescent="0.25">
      <c r="K77" t="str">
        <f t="shared" si="6"/>
        <v/>
      </c>
    </row>
    <row r="78" spans="11:11" x14ac:dyDescent="0.25">
      <c r="K78" t="str">
        <f t="shared" si="6"/>
        <v/>
      </c>
    </row>
    <row r="79" spans="11:11" x14ac:dyDescent="0.25">
      <c r="K79" t="str">
        <f t="shared" si="6"/>
        <v/>
      </c>
    </row>
    <row r="80" spans="11:11" x14ac:dyDescent="0.25">
      <c r="K80" t="str">
        <f t="shared" si="6"/>
        <v/>
      </c>
    </row>
    <row r="81" spans="11:11" x14ac:dyDescent="0.25">
      <c r="K81" t="str">
        <f t="shared" si="6"/>
        <v/>
      </c>
    </row>
    <row r="82" spans="11:11" x14ac:dyDescent="0.25">
      <c r="K82" t="str">
        <f t="shared" si="6"/>
        <v/>
      </c>
    </row>
    <row r="83" spans="11:11" x14ac:dyDescent="0.25">
      <c r="K83" t="str">
        <f t="shared" si="6"/>
        <v/>
      </c>
    </row>
    <row r="84" spans="11:11" x14ac:dyDescent="0.25">
      <c r="K84" t="str">
        <f t="shared" si="6"/>
        <v/>
      </c>
    </row>
    <row r="85" spans="11:11" x14ac:dyDescent="0.25">
      <c r="K85" t="str">
        <f t="shared" si="6"/>
        <v/>
      </c>
    </row>
    <row r="86" spans="11:11" x14ac:dyDescent="0.25">
      <c r="K86" t="str">
        <f t="shared" si="6"/>
        <v/>
      </c>
    </row>
    <row r="87" spans="11:11" x14ac:dyDescent="0.25">
      <c r="K87" t="str">
        <f t="shared" si="6"/>
        <v/>
      </c>
    </row>
    <row r="88" spans="11:11" x14ac:dyDescent="0.25">
      <c r="K88" t="str">
        <f t="shared" si="6"/>
        <v/>
      </c>
    </row>
    <row r="89" spans="11:11" x14ac:dyDescent="0.25">
      <c r="K89" t="str">
        <f t="shared" si="6"/>
        <v/>
      </c>
    </row>
    <row r="90" spans="11:11" x14ac:dyDescent="0.25">
      <c r="K90" t="str">
        <f t="shared" si="6"/>
        <v/>
      </c>
    </row>
    <row r="91" spans="11:11" x14ac:dyDescent="0.25">
      <c r="K91" t="str">
        <f t="shared" si="6"/>
        <v/>
      </c>
    </row>
    <row r="92" spans="11:11" x14ac:dyDescent="0.25">
      <c r="K92" t="str">
        <f t="shared" si="6"/>
        <v/>
      </c>
    </row>
    <row r="93" spans="11:11" x14ac:dyDescent="0.25">
      <c r="K93" t="str">
        <f t="shared" si="6"/>
        <v/>
      </c>
    </row>
    <row r="94" spans="11:11" x14ac:dyDescent="0.25">
      <c r="K94" t="str">
        <f t="shared" si="6"/>
        <v/>
      </c>
    </row>
    <row r="95" spans="11:11" x14ac:dyDescent="0.25">
      <c r="K95" t="str">
        <f t="shared" si="6"/>
        <v/>
      </c>
    </row>
    <row r="96" spans="11:11" x14ac:dyDescent="0.25">
      <c r="K96" t="str">
        <f t="shared" si="6"/>
        <v/>
      </c>
    </row>
    <row r="97" spans="11:11" x14ac:dyDescent="0.25">
      <c r="K97" t="str">
        <f t="shared" si="6"/>
        <v/>
      </c>
    </row>
    <row r="98" spans="11:11" x14ac:dyDescent="0.25">
      <c r="K98" t="str">
        <f t="shared" si="6"/>
        <v/>
      </c>
    </row>
    <row r="99" spans="11:11" x14ac:dyDescent="0.25">
      <c r="K99" t="str">
        <f t="shared" si="6"/>
        <v/>
      </c>
    </row>
    <row r="100" spans="11:11" x14ac:dyDescent="0.25">
      <c r="K100" t="str">
        <f t="shared" si="6"/>
        <v/>
      </c>
    </row>
    <row r="101" spans="11:11" x14ac:dyDescent="0.25">
      <c r="K101" t="str">
        <f t="shared" si="6"/>
        <v/>
      </c>
    </row>
    <row r="102" spans="11:11" x14ac:dyDescent="0.25">
      <c r="K102" t="str">
        <f t="shared" si="6"/>
        <v/>
      </c>
    </row>
    <row r="103" spans="11:11" x14ac:dyDescent="0.25">
      <c r="K103" t="str">
        <f t="shared" si="6"/>
        <v/>
      </c>
    </row>
    <row r="104" spans="11:11" x14ac:dyDescent="0.25">
      <c r="K104" t="str">
        <f t="shared" si="6"/>
        <v/>
      </c>
    </row>
    <row r="105" spans="11:11" x14ac:dyDescent="0.25">
      <c r="K105" t="str">
        <f t="shared" si="6"/>
        <v/>
      </c>
    </row>
    <row r="106" spans="11:11" x14ac:dyDescent="0.25">
      <c r="K106" t="str">
        <f t="shared" si="6"/>
        <v/>
      </c>
    </row>
    <row r="107" spans="11:11" x14ac:dyDescent="0.25">
      <c r="K107" t="str">
        <f t="shared" si="6"/>
        <v/>
      </c>
    </row>
    <row r="108" spans="11:11" x14ac:dyDescent="0.25">
      <c r="K108" t="str">
        <f t="shared" si="6"/>
        <v/>
      </c>
    </row>
    <row r="109" spans="11:11" x14ac:dyDescent="0.25">
      <c r="K109" t="str">
        <f t="shared" si="6"/>
        <v/>
      </c>
    </row>
    <row r="110" spans="11:11" x14ac:dyDescent="0.25">
      <c r="K110" t="str">
        <f t="shared" si="6"/>
        <v/>
      </c>
    </row>
    <row r="111" spans="11:11" x14ac:dyDescent="0.25">
      <c r="K111" t="str">
        <f t="shared" si="6"/>
        <v/>
      </c>
    </row>
    <row r="112" spans="11:11" x14ac:dyDescent="0.25">
      <c r="K112" t="str">
        <f t="shared" si="6"/>
        <v/>
      </c>
    </row>
    <row r="113" spans="11:11" x14ac:dyDescent="0.25">
      <c r="K113" t="str">
        <f t="shared" si="6"/>
        <v/>
      </c>
    </row>
    <row r="114" spans="11:11" x14ac:dyDescent="0.25">
      <c r="K114" t="str">
        <f t="shared" si="6"/>
        <v/>
      </c>
    </row>
    <row r="115" spans="11:11" x14ac:dyDescent="0.25">
      <c r="K115" t="str">
        <f t="shared" si="6"/>
        <v/>
      </c>
    </row>
    <row r="116" spans="11:11" x14ac:dyDescent="0.25">
      <c r="K116" t="str">
        <f t="shared" si="6"/>
        <v/>
      </c>
    </row>
    <row r="117" spans="11:11" x14ac:dyDescent="0.25">
      <c r="K117" t="str">
        <f t="shared" si="6"/>
        <v/>
      </c>
    </row>
    <row r="118" spans="11:11" x14ac:dyDescent="0.25">
      <c r="K118" t="str">
        <f t="shared" si="6"/>
        <v/>
      </c>
    </row>
    <row r="119" spans="11:11" x14ac:dyDescent="0.25">
      <c r="K119" t="str">
        <f t="shared" si="6"/>
        <v/>
      </c>
    </row>
    <row r="120" spans="11:11" x14ac:dyDescent="0.25">
      <c r="K120" t="str">
        <f t="shared" si="6"/>
        <v/>
      </c>
    </row>
    <row r="121" spans="11:11" x14ac:dyDescent="0.25">
      <c r="K121" t="str">
        <f t="shared" si="6"/>
        <v/>
      </c>
    </row>
    <row r="122" spans="11:11" x14ac:dyDescent="0.25">
      <c r="K122" t="str">
        <f t="shared" si="6"/>
        <v/>
      </c>
    </row>
    <row r="123" spans="11:11" x14ac:dyDescent="0.25">
      <c r="K123" t="str">
        <f t="shared" si="6"/>
        <v/>
      </c>
    </row>
    <row r="124" spans="11:11" x14ac:dyDescent="0.25">
      <c r="K124" t="str">
        <f t="shared" si="6"/>
        <v/>
      </c>
    </row>
    <row r="125" spans="11:11" x14ac:dyDescent="0.25">
      <c r="K125" t="str">
        <f t="shared" si="6"/>
        <v/>
      </c>
    </row>
    <row r="126" spans="11:11" x14ac:dyDescent="0.25">
      <c r="K126" t="str">
        <f t="shared" si="6"/>
        <v/>
      </c>
    </row>
    <row r="127" spans="11:11" x14ac:dyDescent="0.25">
      <c r="K127" t="str">
        <f t="shared" si="6"/>
        <v/>
      </c>
    </row>
    <row r="128" spans="11:11" x14ac:dyDescent="0.25">
      <c r="K128" t="str">
        <f t="shared" si="6"/>
        <v/>
      </c>
    </row>
    <row r="129" spans="11:11" x14ac:dyDescent="0.25">
      <c r="K129" t="str">
        <f t="shared" si="6"/>
        <v/>
      </c>
    </row>
    <row r="130" spans="11:11" x14ac:dyDescent="0.25">
      <c r="K130" t="str">
        <f t="shared" si="6"/>
        <v/>
      </c>
    </row>
    <row r="131" spans="11:11" x14ac:dyDescent="0.25">
      <c r="K131" t="str">
        <f t="shared" ref="K131:K194" si="7">IF(A131="","",IF(ISNUMBER(SEARCH("GenSta",A131)),"GEN",IF(ISNUMBER(SEARCH("ES",A131)),"STORAGE",IF(ISNUMBER(SEARCH("Ld",A131)),"LOAD",""))))</f>
        <v/>
      </c>
    </row>
    <row r="132" spans="11:11" x14ac:dyDescent="0.25">
      <c r="K132" t="str">
        <f t="shared" si="7"/>
        <v/>
      </c>
    </row>
    <row r="133" spans="11:11" x14ac:dyDescent="0.25">
      <c r="K133" t="str">
        <f t="shared" si="7"/>
        <v/>
      </c>
    </row>
    <row r="134" spans="11:11" x14ac:dyDescent="0.25">
      <c r="K134" t="str">
        <f t="shared" si="7"/>
        <v/>
      </c>
    </row>
    <row r="135" spans="11:11" x14ac:dyDescent="0.25">
      <c r="K135" t="str">
        <f t="shared" si="7"/>
        <v/>
      </c>
    </row>
    <row r="136" spans="11:11" x14ac:dyDescent="0.25">
      <c r="K136" t="str">
        <f t="shared" si="7"/>
        <v/>
      </c>
    </row>
    <row r="137" spans="11:11" x14ac:dyDescent="0.25">
      <c r="K137" t="str">
        <f t="shared" si="7"/>
        <v/>
      </c>
    </row>
    <row r="138" spans="11:11" x14ac:dyDescent="0.25">
      <c r="K138" t="str">
        <f t="shared" si="7"/>
        <v/>
      </c>
    </row>
    <row r="139" spans="11:11" x14ac:dyDescent="0.25">
      <c r="K139" t="str">
        <f t="shared" si="7"/>
        <v/>
      </c>
    </row>
    <row r="140" spans="11:11" x14ac:dyDescent="0.25">
      <c r="K140" t="str">
        <f t="shared" si="7"/>
        <v/>
      </c>
    </row>
    <row r="141" spans="11:11" x14ac:dyDescent="0.25">
      <c r="K141" t="str">
        <f t="shared" si="7"/>
        <v/>
      </c>
    </row>
    <row r="142" spans="11:11" x14ac:dyDescent="0.25">
      <c r="K142" t="str">
        <f t="shared" si="7"/>
        <v/>
      </c>
    </row>
    <row r="143" spans="11:11" x14ac:dyDescent="0.25">
      <c r="K143" t="str">
        <f t="shared" si="7"/>
        <v/>
      </c>
    </row>
    <row r="144" spans="11:11" x14ac:dyDescent="0.25">
      <c r="K144" t="str">
        <f t="shared" si="7"/>
        <v/>
      </c>
    </row>
    <row r="145" spans="11:11" x14ac:dyDescent="0.25">
      <c r="K145" t="str">
        <f t="shared" si="7"/>
        <v/>
      </c>
    </row>
    <row r="146" spans="11:11" x14ac:dyDescent="0.25">
      <c r="K146" t="str">
        <f t="shared" si="7"/>
        <v/>
      </c>
    </row>
    <row r="147" spans="11:11" x14ac:dyDescent="0.25">
      <c r="K147" t="str">
        <f t="shared" si="7"/>
        <v/>
      </c>
    </row>
    <row r="148" spans="11:11" x14ac:dyDescent="0.25">
      <c r="K148" t="str">
        <f t="shared" si="7"/>
        <v/>
      </c>
    </row>
    <row r="149" spans="11:11" x14ac:dyDescent="0.25">
      <c r="K149" t="str">
        <f t="shared" si="7"/>
        <v/>
      </c>
    </row>
    <row r="150" spans="11:11" x14ac:dyDescent="0.25">
      <c r="K150" t="str">
        <f t="shared" si="7"/>
        <v/>
      </c>
    </row>
    <row r="151" spans="11:11" x14ac:dyDescent="0.25">
      <c r="K151" t="str">
        <f t="shared" si="7"/>
        <v/>
      </c>
    </row>
    <row r="152" spans="11:11" x14ac:dyDescent="0.25">
      <c r="K152" t="str">
        <f t="shared" si="7"/>
        <v/>
      </c>
    </row>
    <row r="153" spans="11:11" x14ac:dyDescent="0.25">
      <c r="K153" t="str">
        <f t="shared" si="7"/>
        <v/>
      </c>
    </row>
    <row r="154" spans="11:11" x14ac:dyDescent="0.25">
      <c r="K154" t="str">
        <f t="shared" si="7"/>
        <v/>
      </c>
    </row>
    <row r="155" spans="11:11" x14ac:dyDescent="0.25">
      <c r="K155" t="str">
        <f t="shared" si="7"/>
        <v/>
      </c>
    </row>
    <row r="156" spans="11:11" x14ac:dyDescent="0.25">
      <c r="K156" t="str">
        <f t="shared" si="7"/>
        <v/>
      </c>
    </row>
    <row r="157" spans="11:11" x14ac:dyDescent="0.25">
      <c r="K157" t="str">
        <f t="shared" si="7"/>
        <v/>
      </c>
    </row>
    <row r="158" spans="11:11" x14ac:dyDescent="0.25">
      <c r="K158" t="str">
        <f t="shared" si="7"/>
        <v/>
      </c>
    </row>
    <row r="159" spans="11:11" x14ac:dyDescent="0.25">
      <c r="K159" t="str">
        <f t="shared" si="7"/>
        <v/>
      </c>
    </row>
    <row r="160" spans="11:11" x14ac:dyDescent="0.25">
      <c r="K160" t="str">
        <f t="shared" si="7"/>
        <v/>
      </c>
    </row>
    <row r="161" spans="11:11" x14ac:dyDescent="0.25">
      <c r="K161" t="str">
        <f t="shared" si="7"/>
        <v/>
      </c>
    </row>
    <row r="162" spans="11:11" x14ac:dyDescent="0.25">
      <c r="K162" t="str">
        <f t="shared" si="7"/>
        <v/>
      </c>
    </row>
    <row r="163" spans="11:11" x14ac:dyDescent="0.25">
      <c r="K163" t="str">
        <f t="shared" si="7"/>
        <v/>
      </c>
    </row>
    <row r="164" spans="11:11" x14ac:dyDescent="0.25">
      <c r="K164" t="str">
        <f t="shared" si="7"/>
        <v/>
      </c>
    </row>
    <row r="165" spans="11:11" x14ac:dyDescent="0.25">
      <c r="K165" t="str">
        <f t="shared" si="7"/>
        <v/>
      </c>
    </row>
    <row r="166" spans="11:11" x14ac:dyDescent="0.25">
      <c r="K166" t="str">
        <f t="shared" si="7"/>
        <v/>
      </c>
    </row>
    <row r="167" spans="11:11" x14ac:dyDescent="0.25">
      <c r="K167" t="str">
        <f t="shared" si="7"/>
        <v/>
      </c>
    </row>
    <row r="168" spans="11:11" x14ac:dyDescent="0.25">
      <c r="K168" t="str">
        <f t="shared" si="7"/>
        <v/>
      </c>
    </row>
    <row r="169" spans="11:11" x14ac:dyDescent="0.25">
      <c r="K169" t="str">
        <f t="shared" si="7"/>
        <v/>
      </c>
    </row>
    <row r="170" spans="11:11" x14ac:dyDescent="0.25">
      <c r="K170" t="str">
        <f t="shared" si="7"/>
        <v/>
      </c>
    </row>
    <row r="171" spans="11:11" x14ac:dyDescent="0.25">
      <c r="K171" t="str">
        <f t="shared" si="7"/>
        <v/>
      </c>
    </row>
    <row r="172" spans="11:11" x14ac:dyDescent="0.25">
      <c r="K172" t="str">
        <f t="shared" si="7"/>
        <v/>
      </c>
    </row>
    <row r="173" spans="11:11" x14ac:dyDescent="0.25">
      <c r="K173" t="str">
        <f t="shared" si="7"/>
        <v/>
      </c>
    </row>
    <row r="174" spans="11:11" x14ac:dyDescent="0.25">
      <c r="K174" t="str">
        <f t="shared" si="7"/>
        <v/>
      </c>
    </row>
    <row r="175" spans="11:11" x14ac:dyDescent="0.25">
      <c r="K175" t="str">
        <f t="shared" si="7"/>
        <v/>
      </c>
    </row>
    <row r="176" spans="11:11" x14ac:dyDescent="0.25">
      <c r="K176" t="str">
        <f t="shared" si="7"/>
        <v/>
      </c>
    </row>
    <row r="177" spans="11:11" x14ac:dyDescent="0.25">
      <c r="K177" t="str">
        <f t="shared" si="7"/>
        <v/>
      </c>
    </row>
    <row r="178" spans="11:11" x14ac:dyDescent="0.25">
      <c r="K178" t="str">
        <f t="shared" si="7"/>
        <v/>
      </c>
    </row>
    <row r="179" spans="11:11" x14ac:dyDescent="0.25">
      <c r="K179" t="str">
        <f t="shared" si="7"/>
        <v/>
      </c>
    </row>
    <row r="180" spans="11:11" x14ac:dyDescent="0.25">
      <c r="K180" t="str">
        <f t="shared" si="7"/>
        <v/>
      </c>
    </row>
    <row r="181" spans="11:11" x14ac:dyDescent="0.25">
      <c r="K181" t="str">
        <f t="shared" si="7"/>
        <v/>
      </c>
    </row>
    <row r="182" spans="11:11" x14ac:dyDescent="0.25">
      <c r="K182" t="str">
        <f t="shared" si="7"/>
        <v/>
      </c>
    </row>
    <row r="183" spans="11:11" x14ac:dyDescent="0.25">
      <c r="K183" t="str">
        <f t="shared" si="7"/>
        <v/>
      </c>
    </row>
    <row r="184" spans="11:11" x14ac:dyDescent="0.25">
      <c r="K184" t="str">
        <f t="shared" si="7"/>
        <v/>
      </c>
    </row>
    <row r="185" spans="11:11" x14ac:dyDescent="0.25">
      <c r="K185" t="str">
        <f t="shared" si="7"/>
        <v/>
      </c>
    </row>
    <row r="186" spans="11:11" x14ac:dyDescent="0.25">
      <c r="K186" t="str">
        <f t="shared" si="7"/>
        <v/>
      </c>
    </row>
    <row r="187" spans="11:11" x14ac:dyDescent="0.25">
      <c r="K187" t="str">
        <f t="shared" si="7"/>
        <v/>
      </c>
    </row>
    <row r="188" spans="11:11" x14ac:dyDescent="0.25">
      <c r="K188" t="str">
        <f t="shared" si="7"/>
        <v/>
      </c>
    </row>
    <row r="189" spans="11:11" x14ac:dyDescent="0.25">
      <c r="K189" t="str">
        <f t="shared" si="7"/>
        <v/>
      </c>
    </row>
    <row r="190" spans="11:11" x14ac:dyDescent="0.25">
      <c r="K190" t="str">
        <f t="shared" si="7"/>
        <v/>
      </c>
    </row>
    <row r="191" spans="11:11" x14ac:dyDescent="0.25">
      <c r="K191" t="str">
        <f t="shared" si="7"/>
        <v/>
      </c>
    </row>
    <row r="192" spans="11:11" x14ac:dyDescent="0.25">
      <c r="K192" t="str">
        <f t="shared" si="7"/>
        <v/>
      </c>
    </row>
    <row r="193" spans="11:11" x14ac:dyDescent="0.25">
      <c r="K193" t="str">
        <f t="shared" si="7"/>
        <v/>
      </c>
    </row>
    <row r="194" spans="11:11" x14ac:dyDescent="0.25">
      <c r="K194" t="str">
        <f t="shared" si="7"/>
        <v/>
      </c>
    </row>
    <row r="195" spans="11:11" x14ac:dyDescent="0.25">
      <c r="K195" t="str">
        <f t="shared" ref="K195" si="8">IF(A195="","",IF(ISNUMBER(SEARCH("GenSta",A195)),"GEN",IF(ISNUMBER(SEARCH("ES",A195)),"STORAGE",IF(ISNUMBER(SEARCH("Ld",A195)),"LOAD",""))))</f>
        <v/>
      </c>
    </row>
    <row r="196" spans="11:11" x14ac:dyDescent="0.25">
      <c r="K196" t="str">
        <f t="shared" ref="K195:K203" si="9">IF(A196="","",IF(ISNUMBER(SEARCH("GenSta",A196)),"GEN_Y",IF(ISNUMBER(SEARCH("ES",A196)),"STORAGE",IF(ISNUMBER(SEARCH("Ld",A196)),"LOAD_X",""))))</f>
        <v/>
      </c>
    </row>
    <row r="197" spans="11:11" x14ac:dyDescent="0.25">
      <c r="K197" t="str">
        <f t="shared" si="9"/>
        <v/>
      </c>
    </row>
    <row r="198" spans="11:11" x14ac:dyDescent="0.25">
      <c r="K198" t="str">
        <f t="shared" si="9"/>
        <v/>
      </c>
    </row>
    <row r="199" spans="11:11" x14ac:dyDescent="0.25">
      <c r="K199" t="str">
        <f t="shared" si="9"/>
        <v/>
      </c>
    </row>
    <row r="200" spans="11:11" x14ac:dyDescent="0.25">
      <c r="K200" t="str">
        <f t="shared" si="9"/>
        <v/>
      </c>
    </row>
    <row r="201" spans="11:11" x14ac:dyDescent="0.25">
      <c r="K201" t="str">
        <f t="shared" si="9"/>
        <v/>
      </c>
    </row>
    <row r="202" spans="11:11" x14ac:dyDescent="0.25">
      <c r="K202" t="str">
        <f t="shared" si="9"/>
        <v/>
      </c>
    </row>
    <row r="203" spans="11:11" x14ac:dyDescent="0.25">
      <c r="K203" t="str">
        <f t="shared" si="9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DC71-E9A7-4F43-9D16-588106625ADF}">
  <sheetPr codeName="Arkusz9"/>
  <dimension ref="A1:P498"/>
  <sheetViews>
    <sheetView workbookViewId="0">
      <selection activeCell="T13" sqref="T13"/>
    </sheetView>
  </sheetViews>
  <sheetFormatPr defaultRowHeight="15" x14ac:dyDescent="0.25"/>
  <cols>
    <col min="15" max="16" width="9.140625" style="5"/>
  </cols>
  <sheetData>
    <row r="1" spans="1:16" x14ac:dyDescent="0.25">
      <c r="A1" t="str">
        <f>Loads!A2</f>
        <v>Ld1</v>
      </c>
      <c r="B1">
        <f>Loads!B2</f>
        <v>6.7</v>
      </c>
      <c r="C1">
        <f>Loads!C2</f>
        <v>1.1000000000000001</v>
      </c>
      <c r="G1" t="s">
        <v>195</v>
      </c>
      <c r="H1" t="s">
        <v>546</v>
      </c>
      <c r="I1" t="s">
        <v>574</v>
      </c>
      <c r="J1" t="s">
        <v>575</v>
      </c>
      <c r="L1">
        <f>_xlfn.XLOOKUP($G1,$A:$A,B:B)</f>
        <v>40.200000000000003</v>
      </c>
      <c r="M1">
        <f>_xlfn.XLOOKUP($G1,$A:$A,C:C)</f>
        <v>20.100000000000001</v>
      </c>
      <c r="O1" s="4">
        <f>I1/L1</f>
        <v>2.7246567164179104E-2</v>
      </c>
      <c r="P1" s="4">
        <f>J1/M1</f>
        <v>1.0573734825870647</v>
      </c>
    </row>
    <row r="2" spans="1:16" x14ac:dyDescent="0.25">
      <c r="A2" t="str">
        <f>Loads!A3</f>
        <v>Ld10</v>
      </c>
      <c r="B2">
        <f>Loads!B3</f>
        <v>7.5</v>
      </c>
      <c r="C2">
        <f>Loads!C3</f>
        <v>1.7</v>
      </c>
      <c r="G2" t="s">
        <v>196</v>
      </c>
      <c r="H2" t="s">
        <v>546</v>
      </c>
      <c r="I2" t="s">
        <v>576</v>
      </c>
      <c r="J2" t="s">
        <v>577</v>
      </c>
      <c r="L2">
        <f t="shared" ref="L2:L35" si="0">_xlfn.XLOOKUP($G2,$A:$A,B:B)</f>
        <v>30.5</v>
      </c>
      <c r="M2">
        <f t="shared" ref="M2:M35" si="1">_xlfn.XLOOKUP($G2,$A:$A,C:C)</f>
        <v>-1.2</v>
      </c>
      <c r="O2" s="4">
        <f t="shared" ref="O2:O35" si="2">I2/L2</f>
        <v>0.96596186885245894</v>
      </c>
      <c r="P2" s="4">
        <f t="shared" ref="P2:P35" si="3">J2/M2</f>
        <v>1</v>
      </c>
    </row>
    <row r="3" spans="1:16" x14ac:dyDescent="0.25">
      <c r="A3" t="str">
        <f>Loads!A4</f>
        <v>Ld100</v>
      </c>
      <c r="B3">
        <f>Loads!B4</f>
        <v>12.4</v>
      </c>
      <c r="C3">
        <f>Loads!C4</f>
        <v>0.9</v>
      </c>
      <c r="G3" t="s">
        <v>198</v>
      </c>
      <c r="H3" t="s">
        <v>546</v>
      </c>
      <c r="I3" t="s">
        <v>578</v>
      </c>
      <c r="J3" t="s">
        <v>579</v>
      </c>
      <c r="L3">
        <f t="shared" si="0"/>
        <v>42.8</v>
      </c>
      <c r="M3">
        <f t="shared" si="1"/>
        <v>11.9</v>
      </c>
      <c r="O3" s="4">
        <f t="shared" si="2"/>
        <v>0.69803313084112151</v>
      </c>
      <c r="P3" s="4">
        <f t="shared" si="3"/>
        <v>-7.2162436974789912E-2</v>
      </c>
    </row>
    <row r="4" spans="1:16" x14ac:dyDescent="0.25">
      <c r="A4" t="str">
        <f>Loads!A5</f>
        <v>Ld102</v>
      </c>
      <c r="B4">
        <f>Loads!B5</f>
        <v>6.3</v>
      </c>
      <c r="C4">
        <f>Loads!C5</f>
        <v>0.4</v>
      </c>
      <c r="G4" t="s">
        <v>199</v>
      </c>
      <c r="H4" t="s">
        <v>546</v>
      </c>
      <c r="I4" t="s">
        <v>580</v>
      </c>
      <c r="J4" t="s">
        <v>581</v>
      </c>
      <c r="L4">
        <f t="shared" si="0"/>
        <v>22.9</v>
      </c>
      <c r="M4">
        <f t="shared" si="1"/>
        <v>11.45</v>
      </c>
      <c r="O4" s="4">
        <f t="shared" si="2"/>
        <v>1.6458391703056769</v>
      </c>
      <c r="P4" s="4">
        <f t="shared" si="3"/>
        <v>-0.21345685589519653</v>
      </c>
    </row>
    <row r="5" spans="1:16" x14ac:dyDescent="0.25">
      <c r="A5" t="str">
        <f>Loads!A6</f>
        <v>Ld103</v>
      </c>
      <c r="B5">
        <f>Loads!B6</f>
        <v>4.8</v>
      </c>
      <c r="C5">
        <f>Loads!C6</f>
        <v>0.1</v>
      </c>
      <c r="G5" t="s">
        <v>216</v>
      </c>
      <c r="H5" t="s">
        <v>546</v>
      </c>
      <c r="I5" t="s">
        <v>582</v>
      </c>
      <c r="J5" t="s">
        <v>583</v>
      </c>
      <c r="L5">
        <f t="shared" si="0"/>
        <v>18.3</v>
      </c>
      <c r="M5">
        <f t="shared" si="1"/>
        <v>-9.15</v>
      </c>
      <c r="O5" s="4">
        <f t="shared" si="2"/>
        <v>1.190227868852459</v>
      </c>
      <c r="P5" s="4">
        <f t="shared" si="3"/>
        <v>1.8907103825136613</v>
      </c>
    </row>
    <row r="6" spans="1:16" x14ac:dyDescent="0.25">
      <c r="A6" t="str">
        <f>Loads!A7</f>
        <v>Ld104</v>
      </c>
      <c r="B6">
        <f>Loads!B7</f>
        <v>8.3000000000000007</v>
      </c>
      <c r="C6">
        <f>Loads!C7</f>
        <v>0.6</v>
      </c>
      <c r="G6" t="s">
        <v>225</v>
      </c>
      <c r="H6" t="s">
        <v>546</v>
      </c>
      <c r="I6" t="s">
        <v>584</v>
      </c>
      <c r="J6" t="s">
        <v>585</v>
      </c>
      <c r="L6">
        <f t="shared" si="0"/>
        <v>66.900000000000006</v>
      </c>
      <c r="M6">
        <f t="shared" si="1"/>
        <v>33.450000000000003</v>
      </c>
      <c r="O6" s="4">
        <f t="shared" si="2"/>
        <v>1.0829228400597906</v>
      </c>
      <c r="P6" s="4">
        <f t="shared" si="3"/>
        <v>-2.5276317787742899</v>
      </c>
    </row>
    <row r="7" spans="1:16" x14ac:dyDescent="0.25">
      <c r="A7" t="str">
        <f>Loads!A8</f>
        <v>Ld105</v>
      </c>
      <c r="B7">
        <f>Loads!B8</f>
        <v>4.2</v>
      </c>
      <c r="C7">
        <f>Loads!C8</f>
        <v>0.1</v>
      </c>
      <c r="G7" t="s">
        <v>226</v>
      </c>
      <c r="H7" t="s">
        <v>546</v>
      </c>
      <c r="I7" t="s">
        <v>586</v>
      </c>
      <c r="J7" t="s">
        <v>587</v>
      </c>
      <c r="L7">
        <f t="shared" si="0"/>
        <v>30.9</v>
      </c>
      <c r="M7">
        <f t="shared" si="1"/>
        <v>15.45</v>
      </c>
      <c r="O7" s="4">
        <f t="shared" si="2"/>
        <v>1.6408218446601941</v>
      </c>
      <c r="P7" s="4">
        <f t="shared" si="3"/>
        <v>-2.9724183171521035</v>
      </c>
    </row>
    <row r="8" spans="1:16" x14ac:dyDescent="0.25">
      <c r="A8" t="str">
        <f>Loads!A9</f>
        <v>Ld107</v>
      </c>
      <c r="B8">
        <f>Loads!B9</f>
        <v>11.6</v>
      </c>
      <c r="C8">
        <f>Loads!C9</f>
        <v>1.6</v>
      </c>
      <c r="G8" t="s">
        <v>232</v>
      </c>
      <c r="H8" t="s">
        <v>546</v>
      </c>
      <c r="I8" t="s">
        <v>588</v>
      </c>
      <c r="J8" t="s">
        <v>589</v>
      </c>
      <c r="L8">
        <f t="shared" si="0"/>
        <v>11.2</v>
      </c>
      <c r="M8">
        <f t="shared" si="1"/>
        <v>5.6</v>
      </c>
      <c r="O8" s="4">
        <f t="shared" si="2"/>
        <v>1.5856709821428572</v>
      </c>
      <c r="P8" s="4">
        <f t="shared" si="3"/>
        <v>-19.660714285714285</v>
      </c>
    </row>
    <row r="9" spans="1:16" x14ac:dyDescent="0.25">
      <c r="A9" t="str">
        <f>Loads!A10</f>
        <v>Ld108</v>
      </c>
      <c r="B9">
        <f>Loads!B10</f>
        <v>8.1999999999999993</v>
      </c>
      <c r="C9">
        <f>Loads!C10</f>
        <v>0.4</v>
      </c>
      <c r="G9" t="s">
        <v>237</v>
      </c>
      <c r="H9" t="s">
        <v>546</v>
      </c>
      <c r="I9" t="s">
        <v>590</v>
      </c>
      <c r="J9" t="s">
        <v>591</v>
      </c>
      <c r="L9">
        <f t="shared" si="0"/>
        <v>70</v>
      </c>
      <c r="M9">
        <f t="shared" si="1"/>
        <v>-35.4</v>
      </c>
      <c r="O9" s="4">
        <f t="shared" si="2"/>
        <v>0.91909138571428584</v>
      </c>
      <c r="P9" s="4">
        <f t="shared" si="3"/>
        <v>2.7372881355932206</v>
      </c>
    </row>
    <row r="10" spans="1:16" x14ac:dyDescent="0.25">
      <c r="A10" t="str">
        <f>Loads!A11</f>
        <v>Ld109</v>
      </c>
      <c r="B10">
        <f>Loads!B11</f>
        <v>10</v>
      </c>
      <c r="C10">
        <f>Loads!C11</f>
        <v>1</v>
      </c>
      <c r="G10" t="s">
        <v>241</v>
      </c>
      <c r="H10" t="s">
        <v>546</v>
      </c>
      <c r="I10" t="s">
        <v>592</v>
      </c>
      <c r="J10" t="s">
        <v>593</v>
      </c>
      <c r="L10">
        <f t="shared" si="0"/>
        <v>70</v>
      </c>
      <c r="M10">
        <f t="shared" si="1"/>
        <v>-71.75</v>
      </c>
      <c r="O10" s="4">
        <f t="shared" si="2"/>
        <v>1.7661942285714285</v>
      </c>
      <c r="P10" s="4">
        <f t="shared" si="3"/>
        <v>1.3700348432055749</v>
      </c>
    </row>
    <row r="11" spans="1:16" x14ac:dyDescent="0.25">
      <c r="A11" t="str">
        <f>Loads!A12</f>
        <v>Ld11</v>
      </c>
      <c r="B11">
        <f>Loads!B12</f>
        <v>8.3000000000000007</v>
      </c>
      <c r="C11">
        <f>Loads!C12</f>
        <v>0.7</v>
      </c>
      <c r="G11" t="s">
        <v>242</v>
      </c>
      <c r="H11" t="s">
        <v>546</v>
      </c>
      <c r="I11" t="s">
        <v>594</v>
      </c>
      <c r="J11" t="s">
        <v>595</v>
      </c>
      <c r="L11">
        <f t="shared" si="0"/>
        <v>90</v>
      </c>
      <c r="M11">
        <f t="shared" si="1"/>
        <v>-11.15</v>
      </c>
      <c r="O11" s="4">
        <f t="shared" si="2"/>
        <v>9.4824033333333321E-2</v>
      </c>
      <c r="P11" s="4">
        <f t="shared" si="3"/>
        <v>9.0224215246636756</v>
      </c>
    </row>
    <row r="12" spans="1:16" x14ac:dyDescent="0.25">
      <c r="A12" t="str">
        <f>Loads!A13</f>
        <v>Ld110</v>
      </c>
      <c r="B12">
        <f>Loads!B13</f>
        <v>6</v>
      </c>
      <c r="C12">
        <f>Loads!C13</f>
        <v>0.2</v>
      </c>
      <c r="G12" t="s">
        <v>243</v>
      </c>
      <c r="H12" t="s">
        <v>546</v>
      </c>
      <c r="I12" t="s">
        <v>596</v>
      </c>
      <c r="J12" t="s">
        <v>597</v>
      </c>
      <c r="L12">
        <f t="shared" si="0"/>
        <v>26.8</v>
      </c>
      <c r="M12">
        <f t="shared" si="1"/>
        <v>13.4</v>
      </c>
      <c r="O12" s="4">
        <f t="shared" si="2"/>
        <v>0.98697350746268653</v>
      </c>
      <c r="P12" s="4">
        <f t="shared" si="3"/>
        <v>4.4486838059701492</v>
      </c>
    </row>
    <row r="13" spans="1:16" x14ac:dyDescent="0.25">
      <c r="A13" t="str">
        <f>Loads!A14</f>
        <v>Ld112</v>
      </c>
      <c r="B13">
        <f>Loads!B14</f>
        <v>4</v>
      </c>
      <c r="C13">
        <f>Loads!C14</f>
        <v>0.3</v>
      </c>
      <c r="G13" t="s">
        <v>244</v>
      </c>
      <c r="H13" t="s">
        <v>546</v>
      </c>
      <c r="I13" t="s">
        <v>598</v>
      </c>
      <c r="J13" t="s">
        <v>599</v>
      </c>
      <c r="L13">
        <f t="shared" si="0"/>
        <v>70</v>
      </c>
      <c r="M13">
        <f t="shared" si="1"/>
        <v>-18.75</v>
      </c>
      <c r="O13" s="4">
        <f t="shared" si="2"/>
        <v>1.0714351142857141</v>
      </c>
      <c r="P13" s="4">
        <f t="shared" si="3"/>
        <v>4.2613333333333339</v>
      </c>
    </row>
    <row r="14" spans="1:16" x14ac:dyDescent="0.25">
      <c r="A14" t="str">
        <f>Loads!A15</f>
        <v>Ld113</v>
      </c>
      <c r="B14">
        <f>Loads!B15</f>
        <v>6.4</v>
      </c>
      <c r="C14">
        <f>Loads!C15</f>
        <v>0.2</v>
      </c>
      <c r="G14" t="s">
        <v>245</v>
      </c>
      <c r="H14" t="s">
        <v>546</v>
      </c>
      <c r="I14" t="s">
        <v>600</v>
      </c>
      <c r="J14" t="s">
        <v>601</v>
      </c>
      <c r="L14">
        <f t="shared" si="0"/>
        <v>53.3</v>
      </c>
      <c r="M14">
        <f t="shared" si="1"/>
        <v>-16.899999999999999</v>
      </c>
      <c r="O14" s="4">
        <f t="shared" si="2"/>
        <v>0.76512245778611643</v>
      </c>
      <c r="P14" s="4">
        <f t="shared" si="3"/>
        <v>1</v>
      </c>
    </row>
    <row r="15" spans="1:16" x14ac:dyDescent="0.25">
      <c r="A15" t="str">
        <f>Loads!A16</f>
        <v>Ld114</v>
      </c>
      <c r="B15">
        <f>Loads!B16</f>
        <v>4.5</v>
      </c>
      <c r="C15">
        <f>Loads!C16</f>
        <v>0.2</v>
      </c>
      <c r="G15" t="s">
        <v>246</v>
      </c>
      <c r="H15" t="s">
        <v>546</v>
      </c>
      <c r="I15" t="s">
        <v>602</v>
      </c>
      <c r="J15" t="s">
        <v>603</v>
      </c>
      <c r="L15">
        <f t="shared" si="0"/>
        <v>62</v>
      </c>
      <c r="M15">
        <f t="shared" si="1"/>
        <v>-4.5999999999999996</v>
      </c>
      <c r="O15" s="4">
        <f t="shared" si="2"/>
        <v>0.75354264516129033</v>
      </c>
      <c r="P15" s="4">
        <f t="shared" si="3"/>
        <v>1</v>
      </c>
    </row>
    <row r="16" spans="1:16" x14ac:dyDescent="0.25">
      <c r="A16" t="str">
        <f>Loads!A17</f>
        <v>Ld118</v>
      </c>
      <c r="B16">
        <f>Loads!B17</f>
        <v>5</v>
      </c>
      <c r="C16">
        <f>Loads!C17</f>
        <v>0.2</v>
      </c>
      <c r="G16" t="s">
        <v>247</v>
      </c>
      <c r="H16" t="s">
        <v>546</v>
      </c>
      <c r="I16" t="s">
        <v>604</v>
      </c>
      <c r="J16" t="s">
        <v>605</v>
      </c>
      <c r="L16">
        <f t="shared" si="0"/>
        <v>18.899999999999999</v>
      </c>
      <c r="M16">
        <f t="shared" si="1"/>
        <v>-2.7</v>
      </c>
      <c r="O16" s="4">
        <f t="shared" si="2"/>
        <v>1.3163386243386244E-2</v>
      </c>
      <c r="P16" s="4">
        <f t="shared" si="3"/>
        <v>1</v>
      </c>
    </row>
    <row r="17" spans="1:16" x14ac:dyDescent="0.25">
      <c r="A17" t="str">
        <f>Loads!A18</f>
        <v>Ld119</v>
      </c>
      <c r="B17">
        <f>Loads!B18</f>
        <v>10.199999999999999</v>
      </c>
      <c r="C17">
        <f>Loads!C18</f>
        <v>0.3</v>
      </c>
      <c r="G17" t="s">
        <v>248</v>
      </c>
      <c r="H17" t="s">
        <v>546</v>
      </c>
      <c r="I17" t="s">
        <v>606</v>
      </c>
      <c r="J17" t="s">
        <v>607</v>
      </c>
      <c r="L17">
        <f t="shared" si="0"/>
        <v>8</v>
      </c>
      <c r="M17">
        <f t="shared" si="1"/>
        <v>4</v>
      </c>
      <c r="O17" s="4">
        <f t="shared" si="2"/>
        <v>1.030183625</v>
      </c>
      <c r="P17" s="4">
        <f t="shared" si="3"/>
        <v>35.908419000000002</v>
      </c>
    </row>
    <row r="18" spans="1:16" x14ac:dyDescent="0.25">
      <c r="A18" t="str">
        <f>Loads!A19</f>
        <v>Ld120</v>
      </c>
      <c r="B18">
        <f>Loads!B19</f>
        <v>90</v>
      </c>
      <c r="C18">
        <f>Loads!C19</f>
        <v>6.3</v>
      </c>
      <c r="G18" t="s">
        <v>249</v>
      </c>
      <c r="H18" t="s">
        <v>546</v>
      </c>
      <c r="I18" t="s">
        <v>608</v>
      </c>
      <c r="J18" t="s">
        <v>609</v>
      </c>
      <c r="L18">
        <f t="shared" si="0"/>
        <v>70</v>
      </c>
      <c r="M18">
        <f t="shared" si="1"/>
        <v>-25.4</v>
      </c>
      <c r="O18" s="4">
        <f t="shared" si="2"/>
        <v>0</v>
      </c>
      <c r="P18" s="4">
        <f t="shared" si="3"/>
        <v>1</v>
      </c>
    </row>
    <row r="19" spans="1:16" x14ac:dyDescent="0.25">
      <c r="A19" t="str">
        <f>Loads!A20</f>
        <v>Ld121</v>
      </c>
      <c r="B19">
        <f>Loads!B20</f>
        <v>12</v>
      </c>
      <c r="C19">
        <f>Loads!C20</f>
        <v>0.9</v>
      </c>
      <c r="G19" t="s">
        <v>250</v>
      </c>
      <c r="H19" t="s">
        <v>546</v>
      </c>
      <c r="I19" t="s">
        <v>610</v>
      </c>
      <c r="J19" t="s">
        <v>611</v>
      </c>
      <c r="L19">
        <f t="shared" si="0"/>
        <v>33.799999999999997</v>
      </c>
      <c r="M19">
        <f t="shared" si="1"/>
        <v>-16.899999999999999</v>
      </c>
      <c r="O19" s="4">
        <f t="shared" si="2"/>
        <v>1.9997259171597637</v>
      </c>
      <c r="P19" s="4">
        <f t="shared" si="3"/>
        <v>1.804733727810651</v>
      </c>
    </row>
    <row r="20" spans="1:16" x14ac:dyDescent="0.25">
      <c r="A20" t="str">
        <f>Loads!A21</f>
        <v>Ld123</v>
      </c>
      <c r="B20">
        <f>Loads!B21</f>
        <v>32</v>
      </c>
      <c r="C20">
        <f>Loads!C21</f>
        <v>3.2</v>
      </c>
      <c r="G20" t="s">
        <v>251</v>
      </c>
      <c r="H20" t="s">
        <v>546</v>
      </c>
      <c r="I20" t="s">
        <v>612</v>
      </c>
      <c r="J20" t="s">
        <v>613</v>
      </c>
      <c r="L20">
        <f t="shared" si="0"/>
        <v>90</v>
      </c>
      <c r="M20">
        <f t="shared" si="1"/>
        <v>-8.6</v>
      </c>
      <c r="O20" s="4">
        <f t="shared" si="2"/>
        <v>0.45778139999999995</v>
      </c>
      <c r="P20" s="4">
        <f t="shared" si="3"/>
        <v>1</v>
      </c>
    </row>
    <row r="21" spans="1:16" x14ac:dyDescent="0.25">
      <c r="A21" t="str">
        <f>Loads!A22</f>
        <v>Ld124</v>
      </c>
      <c r="B21">
        <f>Loads!B22</f>
        <v>8</v>
      </c>
      <c r="C21">
        <f>Loads!C22</f>
        <v>0.7</v>
      </c>
      <c r="G21" t="s">
        <v>252</v>
      </c>
      <c r="H21" t="s">
        <v>546</v>
      </c>
      <c r="I21" t="s">
        <v>608</v>
      </c>
      <c r="J21" t="s">
        <v>614</v>
      </c>
      <c r="L21">
        <f t="shared" si="0"/>
        <v>80</v>
      </c>
      <c r="M21">
        <f t="shared" si="1"/>
        <v>11.4</v>
      </c>
      <c r="O21" s="4">
        <f t="shared" si="2"/>
        <v>0</v>
      </c>
      <c r="P21" s="4">
        <f t="shared" si="3"/>
        <v>-0.46442517543859646</v>
      </c>
    </row>
    <row r="22" spans="1:16" x14ac:dyDescent="0.25">
      <c r="A22" t="str">
        <f>Loads!A23</f>
        <v>Ld126</v>
      </c>
      <c r="B22">
        <f>Loads!B23</f>
        <v>113</v>
      </c>
      <c r="C22">
        <f>Loads!C23</f>
        <v>4.5</v>
      </c>
      <c r="G22" t="s">
        <v>253</v>
      </c>
      <c r="H22" t="s">
        <v>546</v>
      </c>
      <c r="I22" t="s">
        <v>615</v>
      </c>
      <c r="J22" t="s">
        <v>616</v>
      </c>
      <c r="L22">
        <f t="shared" si="0"/>
        <v>63.5</v>
      </c>
      <c r="M22">
        <f t="shared" si="1"/>
        <v>31.75</v>
      </c>
      <c r="O22" s="4">
        <f t="shared" si="2"/>
        <v>0.28893683464566927</v>
      </c>
      <c r="P22" s="4">
        <f t="shared" si="3"/>
        <v>2.0314960629921259</v>
      </c>
    </row>
    <row r="23" spans="1:16" x14ac:dyDescent="0.25">
      <c r="A23" t="str">
        <f>Loads!A24</f>
        <v>Ld127</v>
      </c>
      <c r="B23">
        <f>Loads!B24</f>
        <v>7.5</v>
      </c>
      <c r="C23">
        <f>Loads!C24</f>
        <v>0.7</v>
      </c>
      <c r="G23" t="s">
        <v>255</v>
      </c>
      <c r="H23" t="s">
        <v>546</v>
      </c>
      <c r="I23" t="s">
        <v>617</v>
      </c>
      <c r="J23" t="s">
        <v>618</v>
      </c>
      <c r="L23">
        <f t="shared" si="0"/>
        <v>31.7</v>
      </c>
      <c r="M23">
        <f t="shared" si="1"/>
        <v>-6.3</v>
      </c>
      <c r="O23" s="4">
        <f t="shared" si="2"/>
        <v>1.8456235962145111</v>
      </c>
      <c r="P23" s="4">
        <f t="shared" si="3"/>
        <v>1</v>
      </c>
    </row>
    <row r="24" spans="1:16" x14ac:dyDescent="0.25">
      <c r="A24" t="str">
        <f>Loads!A25</f>
        <v>Ld13</v>
      </c>
      <c r="B24">
        <f>Loads!B25</f>
        <v>9.6999999999999993</v>
      </c>
      <c r="C24">
        <f>Loads!C25</f>
        <v>2</v>
      </c>
      <c r="G24" t="s">
        <v>256</v>
      </c>
      <c r="H24" t="s">
        <v>546</v>
      </c>
      <c r="I24" t="s">
        <v>619</v>
      </c>
      <c r="J24" t="s">
        <v>620</v>
      </c>
      <c r="L24">
        <f t="shared" si="0"/>
        <v>77</v>
      </c>
      <c r="M24">
        <f t="shared" si="1"/>
        <v>-10.4</v>
      </c>
      <c r="O24" s="4">
        <f t="shared" si="2"/>
        <v>0.20138306493506494</v>
      </c>
      <c r="P24" s="4">
        <f t="shared" si="3"/>
        <v>1</v>
      </c>
    </row>
    <row r="25" spans="1:16" x14ac:dyDescent="0.25">
      <c r="A25" t="str">
        <f>Loads!A26</f>
        <v>Ld135</v>
      </c>
      <c r="B25">
        <f>Loads!B26</f>
        <v>14</v>
      </c>
      <c r="C25">
        <f>Loads!C26</f>
        <v>0.6</v>
      </c>
      <c r="G25" t="s">
        <v>257</v>
      </c>
      <c r="H25" t="s">
        <v>546</v>
      </c>
      <c r="I25" t="s">
        <v>608</v>
      </c>
      <c r="J25" t="s">
        <v>621</v>
      </c>
      <c r="L25">
        <f t="shared" si="0"/>
        <v>96.7</v>
      </c>
      <c r="M25">
        <f t="shared" si="1"/>
        <v>-20.100000000000001</v>
      </c>
      <c r="O25" s="4">
        <f t="shared" si="2"/>
        <v>0</v>
      </c>
      <c r="P25" s="4">
        <f t="shared" si="3"/>
        <v>1</v>
      </c>
    </row>
    <row r="26" spans="1:16" x14ac:dyDescent="0.25">
      <c r="A26" t="str">
        <f>Loads!A27</f>
        <v>Ld136</v>
      </c>
      <c r="B26">
        <f>Loads!B27</f>
        <v>88.2</v>
      </c>
      <c r="C26">
        <f>Loads!C27</f>
        <v>3.2</v>
      </c>
      <c r="G26" t="s">
        <v>258</v>
      </c>
      <c r="H26" t="s">
        <v>546</v>
      </c>
      <c r="I26" t="s">
        <v>622</v>
      </c>
      <c r="J26" t="s">
        <v>623</v>
      </c>
      <c r="L26">
        <f t="shared" si="0"/>
        <v>41.5</v>
      </c>
      <c r="M26">
        <f t="shared" si="1"/>
        <v>-20.75</v>
      </c>
      <c r="O26" s="4">
        <f t="shared" si="2"/>
        <v>0.12317814457831326</v>
      </c>
      <c r="P26" s="4">
        <f t="shared" si="3"/>
        <v>2.3518072289156624</v>
      </c>
    </row>
    <row r="27" spans="1:16" x14ac:dyDescent="0.25">
      <c r="A27" t="str">
        <f>Loads!A28</f>
        <v>Ld137</v>
      </c>
      <c r="B27">
        <f>Loads!B28</f>
        <v>125</v>
      </c>
      <c r="C27">
        <f>Loads!C28</f>
        <v>9.6999999999999993</v>
      </c>
      <c r="G27" t="s">
        <v>259</v>
      </c>
      <c r="H27" t="s">
        <v>546</v>
      </c>
      <c r="I27" t="s">
        <v>624</v>
      </c>
      <c r="J27" t="s">
        <v>625</v>
      </c>
      <c r="L27">
        <f t="shared" si="0"/>
        <v>1.2</v>
      </c>
      <c r="M27">
        <f t="shared" si="1"/>
        <v>0.4</v>
      </c>
      <c r="O27" s="4">
        <f t="shared" si="2"/>
        <v>0.57051833333333335</v>
      </c>
      <c r="P27" s="4">
        <f t="shared" si="3"/>
        <v>-0.43663999999999997</v>
      </c>
    </row>
    <row r="28" spans="1:16" x14ac:dyDescent="0.25">
      <c r="A28" t="str">
        <f>Loads!A29</f>
        <v>Ld138</v>
      </c>
      <c r="B28">
        <f>Loads!B29</f>
        <v>26.5</v>
      </c>
      <c r="C28">
        <f>Loads!C29</f>
        <v>7</v>
      </c>
      <c r="G28" t="s">
        <v>492</v>
      </c>
      <c r="H28" t="s">
        <v>547</v>
      </c>
      <c r="I28" t="s">
        <v>626</v>
      </c>
      <c r="J28" t="s">
        <v>608</v>
      </c>
      <c r="L28">
        <f t="shared" si="0"/>
        <v>21.339516972121359</v>
      </c>
      <c r="M28">
        <f t="shared" si="1"/>
        <v>0</v>
      </c>
      <c r="O28" s="4">
        <f>I28/L28</f>
        <v>-8.9701773123579294</v>
      </c>
      <c r="P28" s="4" t="e">
        <f t="shared" si="3"/>
        <v>#DIV/0!</v>
      </c>
    </row>
    <row r="29" spans="1:16" x14ac:dyDescent="0.25">
      <c r="A29" t="str">
        <f>Loads!A30</f>
        <v>Ld139</v>
      </c>
      <c r="B29">
        <f>Loads!B30</f>
        <v>33</v>
      </c>
      <c r="C29">
        <f>Loads!C30</f>
        <v>1.9</v>
      </c>
      <c r="G29" t="s">
        <v>476</v>
      </c>
      <c r="H29" t="s">
        <v>547</v>
      </c>
      <c r="I29" t="s">
        <v>627</v>
      </c>
      <c r="J29" t="s">
        <v>608</v>
      </c>
      <c r="L29">
        <f t="shared" si="0"/>
        <v>89.443676320085473</v>
      </c>
      <c r="M29">
        <f t="shared" si="1"/>
        <v>0</v>
      </c>
      <c r="O29" s="4">
        <f t="shared" si="2"/>
        <v>-2.452334855010244</v>
      </c>
      <c r="P29" s="4" t="e">
        <f t="shared" si="3"/>
        <v>#DIV/0!</v>
      </c>
    </row>
    <row r="30" spans="1:16" x14ac:dyDescent="0.25">
      <c r="A30" t="str">
        <f>Loads!A31</f>
        <v>Ld14</v>
      </c>
      <c r="B30">
        <f>Loads!B31</f>
        <v>46.25090058740188</v>
      </c>
      <c r="C30">
        <f>Loads!C31</f>
        <v>4.5</v>
      </c>
      <c r="G30" t="s">
        <v>479</v>
      </c>
      <c r="H30" t="s">
        <v>547</v>
      </c>
      <c r="I30" t="s">
        <v>628</v>
      </c>
      <c r="J30" t="s">
        <v>608</v>
      </c>
      <c r="L30">
        <f t="shared" si="0"/>
        <v>78.934043739158454</v>
      </c>
      <c r="M30">
        <f t="shared" si="1"/>
        <v>0</v>
      </c>
      <c r="O30" s="4">
        <f t="shared" si="2"/>
        <v>-3.1482882699029635</v>
      </c>
      <c r="P30" s="4" t="e">
        <f t="shared" si="3"/>
        <v>#DIV/0!</v>
      </c>
    </row>
    <row r="31" spans="1:16" x14ac:dyDescent="0.25">
      <c r="A31" t="str">
        <f>Loads!A32</f>
        <v>Ld140</v>
      </c>
      <c r="B31">
        <f>Loads!B32</f>
        <v>38.700000000000003</v>
      </c>
      <c r="C31">
        <f>Loads!C32</f>
        <v>1.7</v>
      </c>
      <c r="G31" t="s">
        <v>494</v>
      </c>
      <c r="H31" t="s">
        <v>547</v>
      </c>
      <c r="I31" t="s">
        <v>629</v>
      </c>
      <c r="J31" t="s">
        <v>608</v>
      </c>
      <c r="L31">
        <f t="shared" si="0"/>
        <v>4.2418408270470991</v>
      </c>
      <c r="M31">
        <f t="shared" si="1"/>
        <v>0</v>
      </c>
      <c r="O31" s="4">
        <f t="shared" si="2"/>
        <v>-45.355336478745201</v>
      </c>
      <c r="P31" s="4" t="e">
        <f t="shared" si="3"/>
        <v>#DIV/0!</v>
      </c>
    </row>
    <row r="32" spans="1:16" x14ac:dyDescent="0.25">
      <c r="A32" t="str">
        <f>Loads!A33</f>
        <v>Ld141</v>
      </c>
      <c r="B32">
        <f>Loads!B33</f>
        <v>22</v>
      </c>
      <c r="C32">
        <f>Loads!C33</f>
        <v>0.7</v>
      </c>
      <c r="G32" t="s">
        <v>19</v>
      </c>
      <c r="H32" t="s">
        <v>548</v>
      </c>
      <c r="I32" t="s">
        <v>630</v>
      </c>
      <c r="J32" t="s">
        <v>631</v>
      </c>
      <c r="L32">
        <f t="shared" si="0"/>
        <v>90</v>
      </c>
      <c r="M32">
        <f t="shared" si="1"/>
        <v>6.3</v>
      </c>
      <c r="O32" s="4">
        <f t="shared" si="2"/>
        <v>0.90231512222222221</v>
      </c>
      <c r="P32" s="4">
        <f t="shared" si="3"/>
        <v>1</v>
      </c>
    </row>
    <row r="33" spans="1:16" x14ac:dyDescent="0.25">
      <c r="A33" t="str">
        <f>Loads!A34</f>
        <v>Ld142</v>
      </c>
      <c r="B33">
        <f>Loads!B34</f>
        <v>28.5</v>
      </c>
      <c r="C33">
        <f>Loads!C34</f>
        <v>1</v>
      </c>
      <c r="G33" t="s">
        <v>28</v>
      </c>
      <c r="H33" t="s">
        <v>548</v>
      </c>
      <c r="I33" t="s">
        <v>632</v>
      </c>
      <c r="J33" t="s">
        <v>633</v>
      </c>
      <c r="L33">
        <f t="shared" si="0"/>
        <v>125</v>
      </c>
      <c r="M33">
        <f t="shared" si="1"/>
        <v>9.6999999999999993</v>
      </c>
      <c r="O33" s="4">
        <f t="shared" si="2"/>
        <v>1.565567744</v>
      </c>
      <c r="P33" s="4">
        <f t="shared" si="3"/>
        <v>0.28355773195876288</v>
      </c>
    </row>
    <row r="34" spans="1:16" x14ac:dyDescent="0.25">
      <c r="A34" t="str">
        <f>Loads!A35</f>
        <v>Ld143</v>
      </c>
      <c r="B34">
        <f>Loads!B35</f>
        <v>9.8000000000000007</v>
      </c>
      <c r="C34">
        <f>Loads!C35</f>
        <v>0.3</v>
      </c>
      <c r="G34" t="s">
        <v>29</v>
      </c>
      <c r="H34" t="s">
        <v>548</v>
      </c>
      <c r="I34" t="s">
        <v>634</v>
      </c>
      <c r="J34" t="s">
        <v>635</v>
      </c>
      <c r="L34">
        <f t="shared" si="0"/>
        <v>26.5</v>
      </c>
      <c r="M34">
        <f t="shared" si="1"/>
        <v>7</v>
      </c>
      <c r="O34" s="4">
        <f t="shared" si="2"/>
        <v>3.7732958490566038</v>
      </c>
      <c r="P34" s="4">
        <f t="shared" si="3"/>
        <v>1</v>
      </c>
    </row>
    <row r="35" spans="1:16" x14ac:dyDescent="0.25">
      <c r="A35" t="str">
        <f>Loads!A36</f>
        <v>Ld144</v>
      </c>
      <c r="B35">
        <f>Loads!B36</f>
        <v>10.4</v>
      </c>
      <c r="C35">
        <f>Loads!C36</f>
        <v>0.7</v>
      </c>
      <c r="G35" t="s">
        <v>31</v>
      </c>
      <c r="H35" t="s">
        <v>548</v>
      </c>
      <c r="I35" t="s">
        <v>636</v>
      </c>
      <c r="J35" t="s">
        <v>637</v>
      </c>
      <c r="L35">
        <f t="shared" si="0"/>
        <v>46.25090058740188</v>
      </c>
      <c r="M35">
        <f t="shared" si="1"/>
        <v>4.5</v>
      </c>
      <c r="O35" s="4">
        <f t="shared" si="2"/>
        <v>0.64387059758381349</v>
      </c>
      <c r="P35" s="4">
        <f t="shared" si="3"/>
        <v>-1</v>
      </c>
    </row>
    <row r="36" spans="1:16" x14ac:dyDescent="0.25">
      <c r="A36" t="str">
        <f>Loads!A37</f>
        <v>Ld145</v>
      </c>
      <c r="B36">
        <f>Loads!B37</f>
        <v>27.8</v>
      </c>
      <c r="C36">
        <f>Loads!C37</f>
        <v>1.5</v>
      </c>
    </row>
    <row r="37" spans="1:16" x14ac:dyDescent="0.25">
      <c r="A37" t="str">
        <f>Loads!A38</f>
        <v>Ld148</v>
      </c>
      <c r="B37">
        <f>Loads!B38</f>
        <v>5.2</v>
      </c>
      <c r="C37">
        <f>Loads!C38</f>
        <v>0.2</v>
      </c>
    </row>
    <row r="38" spans="1:16" x14ac:dyDescent="0.25">
      <c r="A38" t="str">
        <f>Loads!A39</f>
        <v>Ld15</v>
      </c>
      <c r="B38">
        <f>Loads!B39</f>
        <v>13.3</v>
      </c>
      <c r="C38">
        <f>Loads!C39</f>
        <v>0.8</v>
      </c>
    </row>
    <row r="39" spans="1:16" x14ac:dyDescent="0.25">
      <c r="A39" t="str">
        <f>Loads!A40</f>
        <v>Ld152</v>
      </c>
      <c r="B39">
        <f>Loads!B40</f>
        <v>38.700000000000003</v>
      </c>
      <c r="C39">
        <f>Loads!C40</f>
        <v>2.2999999999999998</v>
      </c>
    </row>
    <row r="40" spans="1:16" x14ac:dyDescent="0.25">
      <c r="A40" t="str">
        <f>Loads!A41</f>
        <v>Ld154</v>
      </c>
      <c r="B40">
        <f>Loads!B41</f>
        <v>11</v>
      </c>
      <c r="C40">
        <f>Loads!C41</f>
        <v>0.9</v>
      </c>
    </row>
    <row r="41" spans="1:16" x14ac:dyDescent="0.25">
      <c r="A41" t="str">
        <f>Loads!A42</f>
        <v>Ld155</v>
      </c>
      <c r="B41">
        <f>Loads!B42</f>
        <v>29.2</v>
      </c>
      <c r="C41">
        <f>Loads!C42</f>
        <v>1.4</v>
      </c>
    </row>
    <row r="42" spans="1:16" x14ac:dyDescent="0.25">
      <c r="A42" t="str">
        <f>Loads!A43</f>
        <v>Ld156</v>
      </c>
      <c r="B42">
        <f>Loads!B43</f>
        <v>10.5</v>
      </c>
      <c r="C42">
        <f>Loads!C43</f>
        <v>0.4</v>
      </c>
    </row>
    <row r="43" spans="1:16" x14ac:dyDescent="0.25">
      <c r="A43" t="str">
        <f>Loads!A44</f>
        <v>Ld157</v>
      </c>
      <c r="B43">
        <f>Loads!B44</f>
        <v>11.8</v>
      </c>
      <c r="C43">
        <f>Loads!C44</f>
        <v>0.4</v>
      </c>
    </row>
    <row r="44" spans="1:16" x14ac:dyDescent="0.25">
      <c r="A44" t="str">
        <f>Loads!A45</f>
        <v>Ld159</v>
      </c>
      <c r="B44">
        <f>Loads!B45</f>
        <v>5</v>
      </c>
      <c r="C44">
        <f>Loads!C45</f>
        <v>0</v>
      </c>
    </row>
    <row r="45" spans="1:16" x14ac:dyDescent="0.25">
      <c r="A45" t="str">
        <f>Loads!A46</f>
        <v>Ld16</v>
      </c>
      <c r="B45">
        <f>Loads!B46</f>
        <v>13.3</v>
      </c>
      <c r="C45">
        <f>Loads!C46</f>
        <v>3.5</v>
      </c>
    </row>
    <row r="46" spans="1:16" x14ac:dyDescent="0.25">
      <c r="A46" t="str">
        <f>Loads!A47</f>
        <v>Ld161</v>
      </c>
      <c r="B46">
        <f>Loads!B47</f>
        <v>118.5</v>
      </c>
      <c r="C46">
        <f>Loads!C47</f>
        <v>6.6</v>
      </c>
    </row>
    <row r="47" spans="1:16" x14ac:dyDescent="0.25">
      <c r="A47" t="str">
        <f>Loads!A48</f>
        <v>Ld163</v>
      </c>
      <c r="B47">
        <f>Loads!B48</f>
        <v>34.5</v>
      </c>
      <c r="C47">
        <f>Loads!C48</f>
        <v>8.9</v>
      </c>
    </row>
    <row r="48" spans="1:16" x14ac:dyDescent="0.25">
      <c r="A48" t="str">
        <f>Loads!A49</f>
        <v>Ld167</v>
      </c>
      <c r="B48">
        <f>Loads!B49</f>
        <v>42.5</v>
      </c>
      <c r="C48">
        <f>Loads!C49</f>
        <v>1.9</v>
      </c>
    </row>
    <row r="49" spans="1:3" x14ac:dyDescent="0.25">
      <c r="A49" t="str">
        <f>Loads!A50</f>
        <v>Ld17</v>
      </c>
      <c r="B49">
        <f>Loads!B50</f>
        <v>12.7</v>
      </c>
      <c r="C49">
        <f>Loads!C50</f>
        <v>2.1</v>
      </c>
    </row>
    <row r="50" spans="1:3" x14ac:dyDescent="0.25">
      <c r="A50" t="str">
        <f>Loads!A51</f>
        <v>Ld171</v>
      </c>
      <c r="B50">
        <f>Loads!B51</f>
        <v>5.8</v>
      </c>
      <c r="C50">
        <f>Loads!C51</f>
        <v>0.1</v>
      </c>
    </row>
    <row r="51" spans="1:3" x14ac:dyDescent="0.25">
      <c r="A51" t="str">
        <f>Loads!A52</f>
        <v>Ld173</v>
      </c>
      <c r="B51">
        <f>Loads!B52</f>
        <v>14.2</v>
      </c>
      <c r="C51">
        <f>Loads!C52</f>
        <v>0.3</v>
      </c>
    </row>
    <row r="52" spans="1:3" x14ac:dyDescent="0.25">
      <c r="A52" t="str">
        <f>Loads!A53</f>
        <v>Ld175</v>
      </c>
      <c r="B52">
        <f>Loads!B53</f>
        <v>24.2</v>
      </c>
      <c r="C52">
        <f>Loads!C53</f>
        <v>5</v>
      </c>
    </row>
    <row r="53" spans="1:3" x14ac:dyDescent="0.25">
      <c r="A53" t="str">
        <f>Loads!A54</f>
        <v>Ld176</v>
      </c>
      <c r="B53">
        <f>Loads!B54</f>
        <v>26.5</v>
      </c>
      <c r="C53">
        <f>Loads!C54</f>
        <v>0.9</v>
      </c>
    </row>
    <row r="54" spans="1:3" x14ac:dyDescent="0.25">
      <c r="A54" t="str">
        <f>Loads!A55</f>
        <v>Ld177</v>
      </c>
      <c r="B54">
        <f>Loads!B55</f>
        <v>21</v>
      </c>
      <c r="C54">
        <f>Loads!C55</f>
        <v>0.8</v>
      </c>
    </row>
    <row r="55" spans="1:3" x14ac:dyDescent="0.25">
      <c r="A55" t="str">
        <f>Loads!A56</f>
        <v>Ld178</v>
      </c>
      <c r="B55">
        <f>Loads!B56</f>
        <v>19</v>
      </c>
      <c r="C55">
        <f>Loads!C56</f>
        <v>0.9</v>
      </c>
    </row>
    <row r="56" spans="1:3" x14ac:dyDescent="0.25">
      <c r="A56" t="str">
        <f>Loads!A57</f>
        <v>Ld179</v>
      </c>
      <c r="B56">
        <f>Loads!B57</f>
        <v>7</v>
      </c>
      <c r="C56">
        <f>Loads!C57</f>
        <v>2.8</v>
      </c>
    </row>
    <row r="57" spans="1:3" x14ac:dyDescent="0.25">
      <c r="A57" t="str">
        <f>Loads!A58</f>
        <v>Ld18</v>
      </c>
      <c r="B57">
        <f>Loads!B58</f>
        <v>8.1</v>
      </c>
      <c r="C57">
        <f>Loads!C58</f>
        <v>0.5</v>
      </c>
    </row>
    <row r="58" spans="1:3" x14ac:dyDescent="0.25">
      <c r="A58" t="str">
        <f>Loads!A59</f>
        <v>Ld180</v>
      </c>
      <c r="B58">
        <f>Loads!B59</f>
        <v>12</v>
      </c>
      <c r="C58">
        <f>Loads!C59</f>
        <v>1.6</v>
      </c>
    </row>
    <row r="59" spans="1:3" x14ac:dyDescent="0.25">
      <c r="A59" t="str">
        <f>Loads!A60</f>
        <v>Ld181</v>
      </c>
      <c r="B59">
        <f>Loads!B60</f>
        <v>8.8000000000000007</v>
      </c>
      <c r="C59">
        <f>Loads!C60</f>
        <v>0.7</v>
      </c>
    </row>
    <row r="60" spans="1:3" x14ac:dyDescent="0.25">
      <c r="A60" t="str">
        <f>Loads!A61</f>
        <v>Ld182</v>
      </c>
      <c r="B60">
        <f>Loads!B61</f>
        <v>19.7</v>
      </c>
      <c r="C60">
        <f>Loads!C61</f>
        <v>0.7</v>
      </c>
    </row>
    <row r="61" spans="1:3" x14ac:dyDescent="0.25">
      <c r="A61" t="str">
        <f>Loads!A62</f>
        <v>Ld183</v>
      </c>
      <c r="B61">
        <f>Loads!B62</f>
        <v>48</v>
      </c>
      <c r="C61">
        <f>Loads!C62</f>
        <v>2.1</v>
      </c>
    </row>
    <row r="62" spans="1:3" x14ac:dyDescent="0.25">
      <c r="A62" t="str">
        <f>Loads!A63</f>
        <v>Ld184</v>
      </c>
      <c r="B62">
        <f>Loads!B63</f>
        <v>22.5</v>
      </c>
      <c r="C62">
        <f>Loads!C63</f>
        <v>5.7</v>
      </c>
    </row>
    <row r="63" spans="1:3" x14ac:dyDescent="0.25">
      <c r="A63" t="str">
        <f>Loads!A64</f>
        <v>Ld186</v>
      </c>
      <c r="B63">
        <f>Loads!B64</f>
        <v>84</v>
      </c>
      <c r="C63">
        <f>Loads!C64</f>
        <v>9.4</v>
      </c>
    </row>
    <row r="64" spans="1:3" x14ac:dyDescent="0.25">
      <c r="A64" t="str">
        <f>Loads!A65</f>
        <v>Ld187</v>
      </c>
      <c r="B64">
        <f>Loads!B65</f>
        <v>7.2</v>
      </c>
      <c r="C64">
        <f>Loads!C65</f>
        <v>0.1</v>
      </c>
    </row>
    <row r="65" spans="1:3" x14ac:dyDescent="0.25">
      <c r="A65" t="str">
        <f>Loads!A66</f>
        <v>Ld188</v>
      </c>
      <c r="B65">
        <f>Loads!B66</f>
        <v>17.5</v>
      </c>
      <c r="C65">
        <f>Loads!C66</f>
        <v>0.5</v>
      </c>
    </row>
    <row r="66" spans="1:3" x14ac:dyDescent="0.25">
      <c r="A66" t="str">
        <f>Loads!A67</f>
        <v>Ld19</v>
      </c>
      <c r="B66">
        <f>Loads!B67</f>
        <v>8.8000000000000007</v>
      </c>
      <c r="C66">
        <f>Loads!C67</f>
        <v>0.7</v>
      </c>
    </row>
    <row r="67" spans="1:3" x14ac:dyDescent="0.25">
      <c r="A67" t="str">
        <f>Loads!A68</f>
        <v>Ld191</v>
      </c>
      <c r="B67">
        <f>Loads!B68</f>
        <v>5.8</v>
      </c>
      <c r="C67">
        <f>Loads!C68</f>
        <v>0.4</v>
      </c>
    </row>
    <row r="68" spans="1:3" x14ac:dyDescent="0.25">
      <c r="A68" t="str">
        <f>Loads!A69</f>
        <v>Ld192</v>
      </c>
      <c r="B68">
        <f>Loads!B69</f>
        <v>13.2</v>
      </c>
      <c r="C68">
        <f>Loads!C69</f>
        <v>0.7</v>
      </c>
    </row>
    <row r="69" spans="1:3" x14ac:dyDescent="0.25">
      <c r="A69" t="str">
        <f>Loads!A70</f>
        <v>Ld196</v>
      </c>
      <c r="B69">
        <f>Loads!B70</f>
        <v>12.6</v>
      </c>
      <c r="C69">
        <f>Loads!C70</f>
        <v>7</v>
      </c>
    </row>
    <row r="70" spans="1:3" x14ac:dyDescent="0.25">
      <c r="A70" t="str">
        <f>Loads!A71</f>
        <v>Ld197</v>
      </c>
      <c r="B70">
        <f>Loads!B71</f>
        <v>6.5</v>
      </c>
      <c r="C70">
        <f>Loads!C71</f>
        <v>0.3</v>
      </c>
    </row>
    <row r="71" spans="1:3" x14ac:dyDescent="0.25">
      <c r="A71" t="str">
        <f>Loads!A72</f>
        <v>Ld198</v>
      </c>
      <c r="B71">
        <f>Loads!B72</f>
        <v>9.4</v>
      </c>
      <c r="C71">
        <f>Loads!C72</f>
        <v>0.5</v>
      </c>
    </row>
    <row r="72" spans="1:3" x14ac:dyDescent="0.25">
      <c r="A72" t="str">
        <f>Loads!A73</f>
        <v>Ld199</v>
      </c>
      <c r="B72">
        <f>Loads!B73</f>
        <v>9.8000000000000007</v>
      </c>
      <c r="C72">
        <f>Loads!C73</f>
        <v>0.4</v>
      </c>
    </row>
    <row r="73" spans="1:3" x14ac:dyDescent="0.25">
      <c r="A73" t="str">
        <f>Loads!A74</f>
        <v>Ld2</v>
      </c>
      <c r="B73">
        <f>Loads!B74</f>
        <v>7.2</v>
      </c>
      <c r="C73">
        <f>Loads!C74</f>
        <v>0.5</v>
      </c>
    </row>
    <row r="74" spans="1:3" x14ac:dyDescent="0.25">
      <c r="A74" t="str">
        <f>Loads!A75</f>
        <v>Ld20</v>
      </c>
      <c r="B74">
        <f>Loads!B75</f>
        <v>5.9238618504684544</v>
      </c>
      <c r="C74">
        <f>Loads!C75</f>
        <v>0.8</v>
      </c>
    </row>
    <row r="75" spans="1:3" x14ac:dyDescent="0.25">
      <c r="A75" t="str">
        <f>Loads!A76</f>
        <v>Ld200</v>
      </c>
      <c r="B75">
        <f>Loads!B76</f>
        <v>7.7</v>
      </c>
      <c r="C75">
        <f>Loads!C76</f>
        <v>0</v>
      </c>
    </row>
    <row r="76" spans="1:3" x14ac:dyDescent="0.25">
      <c r="A76" t="str">
        <f>Loads!A77</f>
        <v>Ld201</v>
      </c>
      <c r="B76">
        <f>Loads!B77</f>
        <v>5.6</v>
      </c>
      <c r="C76">
        <f>Loads!C77</f>
        <v>0.1</v>
      </c>
    </row>
    <row r="77" spans="1:3" x14ac:dyDescent="0.25">
      <c r="A77" t="str">
        <f>Loads!A78</f>
        <v>Ld202</v>
      </c>
      <c r="B77">
        <f>Loads!B78</f>
        <v>7.8</v>
      </c>
      <c r="C77">
        <f>Loads!C78</f>
        <v>0.2</v>
      </c>
    </row>
    <row r="78" spans="1:3" x14ac:dyDescent="0.25">
      <c r="A78" t="str">
        <f>Loads!A79</f>
        <v>Ld203</v>
      </c>
      <c r="B78">
        <f>Loads!B79</f>
        <v>5.7</v>
      </c>
      <c r="C78">
        <f>Loads!C79</f>
        <v>0.1</v>
      </c>
    </row>
    <row r="79" spans="1:3" x14ac:dyDescent="0.25">
      <c r="A79" t="str">
        <f>Loads!A80</f>
        <v>Ld204</v>
      </c>
      <c r="B79">
        <f>Loads!B80</f>
        <v>12.1</v>
      </c>
      <c r="C79">
        <f>Loads!C80</f>
        <v>0.4</v>
      </c>
    </row>
    <row r="80" spans="1:3" x14ac:dyDescent="0.25">
      <c r="A80" t="str">
        <f>Loads!A81</f>
        <v>Ld205</v>
      </c>
      <c r="B80">
        <f>Loads!B81</f>
        <v>8.1</v>
      </c>
      <c r="C80">
        <f>Loads!C81</f>
        <v>0.9</v>
      </c>
    </row>
    <row r="81" spans="1:3" x14ac:dyDescent="0.25">
      <c r="A81" t="str">
        <f>Loads!A82</f>
        <v>Ld206</v>
      </c>
      <c r="B81">
        <f>Loads!B82</f>
        <v>5.0999999999999996</v>
      </c>
      <c r="C81">
        <f>Loads!C82</f>
        <v>1.1000000000000001</v>
      </c>
    </row>
    <row r="82" spans="1:3" x14ac:dyDescent="0.25">
      <c r="A82" t="str">
        <f>Loads!A83</f>
        <v>Ld207</v>
      </c>
      <c r="B82">
        <f>Loads!B83</f>
        <v>6.7</v>
      </c>
      <c r="C82">
        <f>Loads!C83</f>
        <v>0.3</v>
      </c>
    </row>
    <row r="83" spans="1:3" x14ac:dyDescent="0.25">
      <c r="A83" t="str">
        <f>Loads!A84</f>
        <v>Ld208</v>
      </c>
      <c r="B83">
        <f>Loads!B84</f>
        <v>19.399999999999999</v>
      </c>
      <c r="C83">
        <f>Loads!C84</f>
        <v>0.5</v>
      </c>
    </row>
    <row r="84" spans="1:3" x14ac:dyDescent="0.25">
      <c r="A84" t="str">
        <f>Loads!A85</f>
        <v>Ld209</v>
      </c>
      <c r="B84">
        <f>Loads!B85</f>
        <v>65.5</v>
      </c>
      <c r="C84">
        <f>Loads!C85</f>
        <v>2.1</v>
      </c>
    </row>
    <row r="85" spans="1:3" x14ac:dyDescent="0.25">
      <c r="A85" t="str">
        <f>Loads!A86</f>
        <v>Ld21</v>
      </c>
      <c r="B85">
        <f>Loads!B86</f>
        <v>5.2</v>
      </c>
      <c r="C85">
        <f>Loads!C86</f>
        <v>1.2</v>
      </c>
    </row>
    <row r="86" spans="1:3" x14ac:dyDescent="0.25">
      <c r="A86" t="str">
        <f>Loads!A87</f>
        <v>Ld211</v>
      </c>
      <c r="B86">
        <f>Loads!B87</f>
        <v>45</v>
      </c>
      <c r="C86">
        <f>Loads!C87</f>
        <v>1.5</v>
      </c>
    </row>
    <row r="87" spans="1:3" x14ac:dyDescent="0.25">
      <c r="A87" t="str">
        <f>Loads!A88</f>
        <v>Ld214</v>
      </c>
      <c r="B87">
        <f>Loads!B88</f>
        <v>5.3</v>
      </c>
      <c r="C87">
        <f>Loads!C88</f>
        <v>0.9</v>
      </c>
    </row>
    <row r="88" spans="1:3" x14ac:dyDescent="0.25">
      <c r="A88" t="str">
        <f>Loads!A89</f>
        <v>Ld215</v>
      </c>
      <c r="B88">
        <f>Loads!B89</f>
        <v>7.1</v>
      </c>
      <c r="C88">
        <f>Loads!C89</f>
        <v>3.3</v>
      </c>
    </row>
    <row r="89" spans="1:3" x14ac:dyDescent="0.25">
      <c r="A89" t="str">
        <f>Loads!A90</f>
        <v>Ld216</v>
      </c>
      <c r="B89">
        <f>Loads!B90</f>
        <v>9.6999999999999993</v>
      </c>
      <c r="C89">
        <f>Loads!C90</f>
        <v>2</v>
      </c>
    </row>
    <row r="90" spans="1:3" x14ac:dyDescent="0.25">
      <c r="A90" t="str">
        <f>Loads!A91</f>
        <v>Ld217</v>
      </c>
      <c r="B90">
        <f>Loads!B91</f>
        <v>25.3</v>
      </c>
      <c r="C90">
        <f>Loads!C91</f>
        <v>3.8</v>
      </c>
    </row>
    <row r="91" spans="1:3" x14ac:dyDescent="0.25">
      <c r="A91" t="str">
        <f>Loads!A92</f>
        <v>Ld218</v>
      </c>
      <c r="B91">
        <f>Loads!B92</f>
        <v>49</v>
      </c>
      <c r="C91">
        <f>Loads!C92</f>
        <v>5</v>
      </c>
    </row>
    <row r="92" spans="1:3" x14ac:dyDescent="0.25">
      <c r="A92" t="str">
        <f>Loads!A93</f>
        <v>Ld22</v>
      </c>
      <c r="B92">
        <f>Loads!B93</f>
        <v>19.600000000000001</v>
      </c>
      <c r="C92">
        <f>Loads!C93</f>
        <v>2</v>
      </c>
    </row>
    <row r="93" spans="1:3" x14ac:dyDescent="0.25">
      <c r="A93" t="str">
        <f>Loads!A94</f>
        <v>Ld220</v>
      </c>
      <c r="B93">
        <f>Loads!B94</f>
        <v>39.200000000000003</v>
      </c>
      <c r="C93">
        <f>Loads!C94</f>
        <v>4.8</v>
      </c>
    </row>
    <row r="94" spans="1:3" x14ac:dyDescent="0.25">
      <c r="A94" t="str">
        <f>Loads!A95</f>
        <v>Ld221</v>
      </c>
      <c r="B94">
        <f>Loads!B95</f>
        <v>15.2</v>
      </c>
      <c r="C94">
        <f>Loads!C95</f>
        <v>6.3</v>
      </c>
    </row>
    <row r="95" spans="1:3" x14ac:dyDescent="0.25">
      <c r="A95" t="str">
        <f>Loads!A96</f>
        <v>Ld222</v>
      </c>
      <c r="B95">
        <f>Loads!B96</f>
        <v>15.7</v>
      </c>
      <c r="C95">
        <f>Loads!C96</f>
        <v>2.6</v>
      </c>
    </row>
    <row r="96" spans="1:3" x14ac:dyDescent="0.25">
      <c r="A96" t="str">
        <f>Loads!A97</f>
        <v>Ld223</v>
      </c>
      <c r="B96">
        <f>Loads!B97</f>
        <v>25.3</v>
      </c>
      <c r="C96">
        <f>Loads!C97</f>
        <v>1.1000000000000001</v>
      </c>
    </row>
    <row r="97" spans="1:3" x14ac:dyDescent="0.25">
      <c r="A97" t="str">
        <f>Loads!A98</f>
        <v>Ld224</v>
      </c>
      <c r="B97">
        <f>Loads!B98</f>
        <v>19.7</v>
      </c>
      <c r="C97">
        <f>Loads!C98</f>
        <v>0.2</v>
      </c>
    </row>
    <row r="98" spans="1:3" x14ac:dyDescent="0.25">
      <c r="A98" t="str">
        <f>Loads!A99</f>
        <v>Ld225</v>
      </c>
      <c r="B98">
        <f>Loads!B99</f>
        <v>6.2</v>
      </c>
      <c r="C98">
        <f>Loads!C99</f>
        <v>1.9</v>
      </c>
    </row>
    <row r="99" spans="1:3" x14ac:dyDescent="0.25">
      <c r="A99" t="str">
        <f>Loads!A100</f>
        <v>Ld227</v>
      </c>
      <c r="B99">
        <f>Loads!B100</f>
        <v>13.1</v>
      </c>
      <c r="C99">
        <f>Loads!C100</f>
        <v>5.7</v>
      </c>
    </row>
    <row r="100" spans="1:3" x14ac:dyDescent="0.25">
      <c r="A100" t="str">
        <f>Loads!A101</f>
        <v>Ld228</v>
      </c>
      <c r="B100">
        <f>Loads!B101</f>
        <v>17.399999999999999</v>
      </c>
      <c r="C100">
        <f>Loads!C101</f>
        <v>6.7</v>
      </c>
    </row>
    <row r="101" spans="1:3" x14ac:dyDescent="0.25">
      <c r="A101" t="str">
        <f>Loads!A102</f>
        <v>Ld229</v>
      </c>
      <c r="B101">
        <f>Loads!B102</f>
        <v>7.9</v>
      </c>
      <c r="C101">
        <f>Loads!C102</f>
        <v>3.1</v>
      </c>
    </row>
    <row r="102" spans="1:3" x14ac:dyDescent="0.25">
      <c r="A102" t="str">
        <f>Loads!A103</f>
        <v>Ld23</v>
      </c>
      <c r="B102">
        <f>Loads!B103</f>
        <v>36.612905613529612</v>
      </c>
      <c r="C102">
        <f>Loads!C103</f>
        <v>3</v>
      </c>
    </row>
    <row r="103" spans="1:3" x14ac:dyDescent="0.25">
      <c r="A103" t="str">
        <f>Loads!A104</f>
        <v>Ld231</v>
      </c>
      <c r="B103">
        <f>Loads!B104</f>
        <v>6.3</v>
      </c>
      <c r="C103">
        <f>Loads!C104</f>
        <v>0.1</v>
      </c>
    </row>
    <row r="104" spans="1:3" x14ac:dyDescent="0.25">
      <c r="A104" t="str">
        <f>Loads!A105</f>
        <v>Ld232</v>
      </c>
      <c r="B104">
        <f>Loads!B105</f>
        <v>10.8</v>
      </c>
      <c r="C104">
        <f>Loads!C105</f>
        <v>0.7</v>
      </c>
    </row>
    <row r="105" spans="1:3" x14ac:dyDescent="0.25">
      <c r="A105" t="str">
        <f>Loads!A106</f>
        <v>Ld234</v>
      </c>
      <c r="B105">
        <f>Loads!B106</f>
        <v>7</v>
      </c>
      <c r="C105">
        <f>Loads!C106</f>
        <v>0.9</v>
      </c>
    </row>
    <row r="106" spans="1:3" x14ac:dyDescent="0.25">
      <c r="A106" t="str">
        <f>Loads!A107</f>
        <v>Ld235</v>
      </c>
      <c r="B106">
        <f>Loads!B107</f>
        <v>5.3</v>
      </c>
      <c r="C106">
        <f>Loads!C107</f>
        <v>0.7</v>
      </c>
    </row>
    <row r="107" spans="1:3" x14ac:dyDescent="0.25">
      <c r="A107" t="str">
        <f>Loads!A108</f>
        <v>Ld238</v>
      </c>
      <c r="B107">
        <f>Loads!B108</f>
        <v>7.6</v>
      </c>
      <c r="C107">
        <f>Loads!C108</f>
        <v>0.7</v>
      </c>
    </row>
    <row r="108" spans="1:3" x14ac:dyDescent="0.25">
      <c r="A108" t="str">
        <f>Loads!A109</f>
        <v>Ld24</v>
      </c>
      <c r="B108">
        <f>Loads!B109</f>
        <v>6.6</v>
      </c>
      <c r="C108">
        <f>Loads!C109</f>
        <v>0.5</v>
      </c>
    </row>
    <row r="109" spans="1:3" x14ac:dyDescent="0.25">
      <c r="A109" t="str">
        <f>Loads!A110</f>
        <v>Ld243</v>
      </c>
      <c r="B109">
        <f>Loads!B110</f>
        <v>5</v>
      </c>
      <c r="C109">
        <f>Loads!C110</f>
        <v>0.3</v>
      </c>
    </row>
    <row r="110" spans="1:3" x14ac:dyDescent="0.25">
      <c r="A110" t="str">
        <f>Loads!A111</f>
        <v>Ld245</v>
      </c>
      <c r="B110">
        <f>Loads!B111</f>
        <v>7.7</v>
      </c>
      <c r="C110">
        <f>Loads!C111</f>
        <v>0.8</v>
      </c>
    </row>
    <row r="111" spans="1:3" x14ac:dyDescent="0.25">
      <c r="A111" t="str">
        <f>Loads!A112</f>
        <v>Ld246</v>
      </c>
      <c r="B111">
        <f>Loads!B112</f>
        <v>9.8000000000000007</v>
      </c>
      <c r="C111">
        <f>Loads!C112</f>
        <v>0.4</v>
      </c>
    </row>
    <row r="112" spans="1:3" x14ac:dyDescent="0.25">
      <c r="A112" t="str">
        <f>Loads!A113</f>
        <v>Ld247</v>
      </c>
      <c r="B112">
        <f>Loads!B113</f>
        <v>5.4</v>
      </c>
      <c r="C112">
        <f>Loads!C113</f>
        <v>0.2</v>
      </c>
    </row>
    <row r="113" spans="1:3" x14ac:dyDescent="0.25">
      <c r="A113" t="str">
        <f>Loads!A114</f>
        <v>Ld248</v>
      </c>
      <c r="B113">
        <f>Loads!B114</f>
        <v>71</v>
      </c>
      <c r="C113">
        <f>Loads!C114</f>
        <v>1.4</v>
      </c>
    </row>
    <row r="114" spans="1:3" x14ac:dyDescent="0.25">
      <c r="A114" t="str">
        <f>Loads!A115</f>
        <v>Ld25</v>
      </c>
      <c r="B114">
        <f>Loads!B115</f>
        <v>4.2</v>
      </c>
      <c r="C114">
        <f>Loads!C115</f>
        <v>0</v>
      </c>
    </row>
    <row r="115" spans="1:3" x14ac:dyDescent="0.25">
      <c r="A115" t="str">
        <f>Loads!A116</f>
        <v>Ld26</v>
      </c>
      <c r="B115">
        <f>Loads!B116</f>
        <v>4</v>
      </c>
      <c r="C115">
        <f>Loads!C116</f>
        <v>0.2</v>
      </c>
    </row>
    <row r="116" spans="1:3" x14ac:dyDescent="0.25">
      <c r="A116" t="str">
        <f>Loads!A117</f>
        <v>Ld27</v>
      </c>
      <c r="B116">
        <f>Loads!B117</f>
        <v>5.2</v>
      </c>
      <c r="C116">
        <f>Loads!C117</f>
        <v>0.6</v>
      </c>
    </row>
    <row r="117" spans="1:3" x14ac:dyDescent="0.25">
      <c r="A117" t="str">
        <f>Loads!A118</f>
        <v>Ld281</v>
      </c>
      <c r="B117">
        <f>Loads!B118</f>
        <v>5.3</v>
      </c>
      <c r="C117">
        <f>Loads!C118</f>
        <v>1</v>
      </c>
    </row>
    <row r="118" spans="1:3" x14ac:dyDescent="0.25">
      <c r="A118" t="str">
        <f>Loads!A119</f>
        <v>Ld3</v>
      </c>
      <c r="B118">
        <f>Loads!B119</f>
        <v>4.3</v>
      </c>
      <c r="C118">
        <f>Loads!C119</f>
        <v>1.8</v>
      </c>
    </row>
    <row r="119" spans="1:3" x14ac:dyDescent="0.25">
      <c r="A119" t="str">
        <f>Loads!A120</f>
        <v>Ld319</v>
      </c>
      <c r="B119">
        <f>Loads!B120</f>
        <v>9.4</v>
      </c>
      <c r="C119">
        <f>Loads!C120</f>
        <v>0.5</v>
      </c>
    </row>
    <row r="120" spans="1:3" x14ac:dyDescent="0.25">
      <c r="A120" t="str">
        <f>Loads!A121</f>
        <v>Ld320</v>
      </c>
      <c r="B120">
        <f>Loads!B121</f>
        <v>7.8</v>
      </c>
      <c r="C120">
        <f>Loads!C121</f>
        <v>1</v>
      </c>
    </row>
    <row r="121" spans="1:3" x14ac:dyDescent="0.25">
      <c r="A121" t="str">
        <f>Loads!A122</f>
        <v>Ld323</v>
      </c>
      <c r="B121">
        <f>Loads!B122</f>
        <v>5.2</v>
      </c>
      <c r="C121">
        <f>Loads!C122</f>
        <v>0.5</v>
      </c>
    </row>
    <row r="122" spans="1:3" x14ac:dyDescent="0.25">
      <c r="A122" t="str">
        <f>Loads!A123</f>
        <v>Ld33</v>
      </c>
      <c r="B122">
        <f>Loads!B123</f>
        <v>4.0999999999999996</v>
      </c>
      <c r="C122">
        <f>Loads!C123</f>
        <v>2.2999999999999998</v>
      </c>
    </row>
    <row r="123" spans="1:3" x14ac:dyDescent="0.25">
      <c r="A123" t="str">
        <f>Loads!A124</f>
        <v>Ld34</v>
      </c>
      <c r="B123">
        <f>Loads!B124</f>
        <v>4.7</v>
      </c>
      <c r="C123">
        <f>Loads!C124</f>
        <v>0.7</v>
      </c>
    </row>
    <row r="124" spans="1:3" x14ac:dyDescent="0.25">
      <c r="A124" t="str">
        <f>Loads!A125</f>
        <v>Ld35</v>
      </c>
      <c r="B124">
        <f>Loads!B125</f>
        <v>9</v>
      </c>
      <c r="C124">
        <f>Loads!C125</f>
        <v>0.5</v>
      </c>
    </row>
    <row r="125" spans="1:3" x14ac:dyDescent="0.25">
      <c r="A125" t="str">
        <f>Loads!A126</f>
        <v>Ld36</v>
      </c>
      <c r="B125">
        <f>Loads!B126</f>
        <v>10.8</v>
      </c>
      <c r="C125">
        <f>Loads!C126</f>
        <v>1.1000000000000001</v>
      </c>
    </row>
    <row r="126" spans="1:3" x14ac:dyDescent="0.25">
      <c r="A126" t="str">
        <f>Loads!A127</f>
        <v>Ld37</v>
      </c>
      <c r="B126">
        <f>Loads!B127</f>
        <v>20</v>
      </c>
      <c r="C126">
        <f>Loads!C127</f>
        <v>4.0999999999999996</v>
      </c>
    </row>
    <row r="127" spans="1:3" x14ac:dyDescent="0.25">
      <c r="A127" t="str">
        <f>Loads!A128</f>
        <v>Ld371</v>
      </c>
      <c r="B127">
        <f>Loads!B128</f>
        <v>4.3</v>
      </c>
      <c r="C127">
        <f>Loads!C128</f>
        <v>0.1</v>
      </c>
    </row>
    <row r="128" spans="1:3" x14ac:dyDescent="0.25">
      <c r="A128" t="str">
        <f>Loads!A129</f>
        <v>Ld372</v>
      </c>
      <c r="B128">
        <f>Loads!B129</f>
        <v>7.2</v>
      </c>
      <c r="C128">
        <f>Loads!C129</f>
        <v>0.7</v>
      </c>
    </row>
    <row r="129" spans="1:3" x14ac:dyDescent="0.25">
      <c r="A129" t="str">
        <f>Loads!A130</f>
        <v>Ld38</v>
      </c>
      <c r="B129">
        <f>Loads!B130</f>
        <v>8.9</v>
      </c>
      <c r="C129">
        <f>Loads!C130</f>
        <v>1.7</v>
      </c>
    </row>
    <row r="130" spans="1:3" x14ac:dyDescent="0.25">
      <c r="A130" t="str">
        <f>Loads!A131</f>
        <v>Ld39</v>
      </c>
      <c r="B130">
        <f>Loads!B131</f>
        <v>5.6</v>
      </c>
      <c r="C130">
        <f>Loads!C131</f>
        <v>0.3</v>
      </c>
    </row>
    <row r="131" spans="1:3" x14ac:dyDescent="0.25">
      <c r="A131" t="str">
        <f>Loads!A132</f>
        <v>Ld4</v>
      </c>
      <c r="B131">
        <f>Loads!B132</f>
        <v>7.1</v>
      </c>
      <c r="C131">
        <f>Loads!C132</f>
        <v>0.8</v>
      </c>
    </row>
    <row r="132" spans="1:3" x14ac:dyDescent="0.25">
      <c r="A132" t="str">
        <f>Loads!A133</f>
        <v>Ld40</v>
      </c>
      <c r="B132">
        <f>Loads!B133</f>
        <v>4.7</v>
      </c>
      <c r="C132">
        <f>Loads!C133</f>
        <v>0.2</v>
      </c>
    </row>
    <row r="133" spans="1:3" x14ac:dyDescent="0.25">
      <c r="A133" t="str">
        <f>Loads!A134</f>
        <v>Ld41</v>
      </c>
      <c r="B133">
        <f>Loads!B134</f>
        <v>5</v>
      </c>
      <c r="C133">
        <f>Loads!C134</f>
        <v>0.1</v>
      </c>
    </row>
    <row r="134" spans="1:3" x14ac:dyDescent="0.25">
      <c r="A134" t="str">
        <f>Loads!A135</f>
        <v>Ld42</v>
      </c>
      <c r="B134">
        <f>Loads!B135</f>
        <v>6.8</v>
      </c>
      <c r="C134">
        <f>Loads!C135</f>
        <v>0.3</v>
      </c>
    </row>
    <row r="135" spans="1:3" x14ac:dyDescent="0.25">
      <c r="A135" t="str">
        <f>Loads!A136</f>
        <v>Ld43</v>
      </c>
      <c r="B135">
        <f>Loads!B136</f>
        <v>4.4000000000000004</v>
      </c>
      <c r="C135">
        <f>Loads!C136</f>
        <v>0.1</v>
      </c>
    </row>
    <row r="136" spans="1:3" x14ac:dyDescent="0.25">
      <c r="A136" t="str">
        <f>Loads!A137</f>
        <v>Ld44</v>
      </c>
      <c r="B136">
        <f>Loads!B137</f>
        <v>16.2</v>
      </c>
      <c r="C136">
        <f>Loads!C137</f>
        <v>1.1000000000000001</v>
      </c>
    </row>
    <row r="137" spans="1:3" x14ac:dyDescent="0.25">
      <c r="A137" t="str">
        <f>Loads!A138</f>
        <v>Ld45</v>
      </c>
      <c r="B137">
        <f>Loads!B138</f>
        <v>4.3</v>
      </c>
      <c r="C137">
        <f>Loads!C138</f>
        <v>0.2</v>
      </c>
    </row>
    <row r="138" spans="1:3" x14ac:dyDescent="0.25">
      <c r="A138" t="str">
        <f>Loads!A139</f>
        <v>Ld46</v>
      </c>
      <c r="B138">
        <f>Loads!B139</f>
        <v>27.8</v>
      </c>
      <c r="C138">
        <f>Loads!C139</f>
        <v>2.6</v>
      </c>
    </row>
    <row r="139" spans="1:3" x14ac:dyDescent="0.25">
      <c r="A139" t="str">
        <f>Loads!A140</f>
        <v>Ld47</v>
      </c>
      <c r="B139">
        <f>Loads!B140</f>
        <v>61.713043818298232</v>
      </c>
      <c r="C139">
        <f>Loads!C140</f>
        <v>1.4</v>
      </c>
    </row>
    <row r="140" spans="1:3" x14ac:dyDescent="0.25">
      <c r="A140" t="str">
        <f>Loads!A141</f>
        <v>Ld48</v>
      </c>
      <c r="B140">
        <f>Loads!B141</f>
        <v>5.3</v>
      </c>
      <c r="C140">
        <f>Loads!C141</f>
        <v>0.3</v>
      </c>
    </row>
    <row r="141" spans="1:3" x14ac:dyDescent="0.25">
      <c r="A141" t="str">
        <f>Loads!A142</f>
        <v>Ld49</v>
      </c>
      <c r="B141">
        <f>Loads!B142</f>
        <v>9.5</v>
      </c>
      <c r="C141">
        <f>Loads!C142</f>
        <v>2.7</v>
      </c>
    </row>
    <row r="142" spans="1:3" x14ac:dyDescent="0.25">
      <c r="A142" t="str">
        <f>Loads!A143</f>
        <v>Ld5</v>
      </c>
      <c r="B142">
        <f>Loads!B143</f>
        <v>4.5</v>
      </c>
      <c r="C142">
        <f>Loads!C143</f>
        <v>0.8</v>
      </c>
    </row>
    <row r="143" spans="1:3" x14ac:dyDescent="0.25">
      <c r="A143" t="str">
        <f>Loads!A144</f>
        <v>Ld51</v>
      </c>
      <c r="B143">
        <f>Loads!B144</f>
        <v>4.3</v>
      </c>
      <c r="C143">
        <f>Loads!C144</f>
        <v>0.7</v>
      </c>
    </row>
    <row r="144" spans="1:3" x14ac:dyDescent="0.25">
      <c r="A144" t="str">
        <f>Loads!A145</f>
        <v>Ld52</v>
      </c>
      <c r="B144">
        <f>Loads!B145</f>
        <v>8.6</v>
      </c>
      <c r="C144">
        <f>Loads!C145</f>
        <v>1.4</v>
      </c>
    </row>
    <row r="145" spans="1:3" x14ac:dyDescent="0.25">
      <c r="A145" t="str">
        <f>Loads!A146</f>
        <v>Ld526</v>
      </c>
      <c r="B145">
        <f>Loads!B146</f>
        <v>11.3</v>
      </c>
      <c r="C145">
        <f>Loads!C146</f>
        <v>0.7</v>
      </c>
    </row>
    <row r="146" spans="1:3" x14ac:dyDescent="0.25">
      <c r="A146" t="str">
        <f>Loads!A147</f>
        <v>Ld528</v>
      </c>
      <c r="B146">
        <f>Loads!B147</f>
        <v>14.1</v>
      </c>
      <c r="C146">
        <f>Loads!C147</f>
        <v>2.6</v>
      </c>
    </row>
    <row r="147" spans="1:3" x14ac:dyDescent="0.25">
      <c r="A147" t="str">
        <f>Loads!A148</f>
        <v>Ld53</v>
      </c>
      <c r="B147">
        <f>Loads!B148</f>
        <v>23.5</v>
      </c>
      <c r="C147">
        <f>Loads!C148</f>
        <v>2.4</v>
      </c>
    </row>
    <row r="148" spans="1:3" x14ac:dyDescent="0.25">
      <c r="A148" t="str">
        <f>Loads!A149</f>
        <v>Ld531</v>
      </c>
      <c r="B148">
        <f>Loads!B149</f>
        <v>4.8</v>
      </c>
      <c r="C148">
        <f>Loads!C149</f>
        <v>0.9</v>
      </c>
    </row>
    <row r="149" spans="1:3" x14ac:dyDescent="0.25">
      <c r="A149" t="str">
        <f>Loads!A150</f>
        <v>Ld54</v>
      </c>
      <c r="B149">
        <f>Loads!B150</f>
        <v>5.6</v>
      </c>
      <c r="C149">
        <f>Loads!C150</f>
        <v>0.2</v>
      </c>
    </row>
    <row r="150" spans="1:3" x14ac:dyDescent="0.25">
      <c r="A150" t="str">
        <f>Loads!A151</f>
        <v>Ld55</v>
      </c>
      <c r="B150">
        <f>Loads!B151</f>
        <v>4</v>
      </c>
      <c r="C150">
        <f>Loads!C151</f>
        <v>0.3</v>
      </c>
    </row>
    <row r="151" spans="1:3" x14ac:dyDescent="0.25">
      <c r="A151" t="str">
        <f>Loads!A152</f>
        <v>Ld552</v>
      </c>
      <c r="B151">
        <f>Loads!B152</f>
        <v>6.6</v>
      </c>
      <c r="C151">
        <f>Loads!C152</f>
        <v>0.3</v>
      </c>
    </row>
    <row r="152" spans="1:3" x14ac:dyDescent="0.25">
      <c r="A152" t="str">
        <f>Loads!A153</f>
        <v>Ld57</v>
      </c>
      <c r="B152">
        <f>Loads!B153</f>
        <v>8.8000000000000007</v>
      </c>
      <c r="C152">
        <f>Loads!C153</f>
        <v>0.4</v>
      </c>
    </row>
    <row r="153" spans="1:3" x14ac:dyDescent="0.25">
      <c r="A153" t="str">
        <f>Loads!A154</f>
        <v>Ld58</v>
      </c>
      <c r="B153">
        <f>Loads!B154</f>
        <v>7.4</v>
      </c>
      <c r="C153">
        <f>Loads!C154</f>
        <v>0.5</v>
      </c>
    </row>
    <row r="154" spans="1:3" x14ac:dyDescent="0.25">
      <c r="A154" t="str">
        <f>Loads!A155</f>
        <v>Ld59</v>
      </c>
      <c r="B154">
        <f>Loads!B155</f>
        <v>13.8</v>
      </c>
      <c r="C154">
        <f>Loads!C155</f>
        <v>1.1000000000000001</v>
      </c>
    </row>
    <row r="155" spans="1:3" x14ac:dyDescent="0.25">
      <c r="A155" t="str">
        <f>Loads!A156</f>
        <v>Ld6</v>
      </c>
      <c r="B155">
        <f>Loads!B156</f>
        <v>9.1999999999999993</v>
      </c>
      <c r="C155">
        <f>Loads!C156</f>
        <v>0.8</v>
      </c>
    </row>
    <row r="156" spans="1:3" x14ac:dyDescent="0.25">
      <c r="A156" t="str">
        <f>Loads!A157</f>
        <v>Ld60</v>
      </c>
      <c r="B156">
        <f>Loads!B157</f>
        <v>5.9</v>
      </c>
      <c r="C156">
        <f>Loads!C157</f>
        <v>0.8</v>
      </c>
    </row>
    <row r="157" spans="1:3" x14ac:dyDescent="0.25">
      <c r="A157" t="str">
        <f>Loads!A158</f>
        <v>Ld609</v>
      </c>
      <c r="B157">
        <f>Loads!B158</f>
        <v>6.2</v>
      </c>
      <c r="C157">
        <f>Loads!C158</f>
        <v>0.2</v>
      </c>
    </row>
    <row r="158" spans="1:3" x14ac:dyDescent="0.25">
      <c r="A158" t="str">
        <f>Loads!A159</f>
        <v>Ld61</v>
      </c>
      <c r="B158">
        <f>Loads!B159</f>
        <v>5.4</v>
      </c>
      <c r="C158">
        <f>Loads!C159</f>
        <v>0.2</v>
      </c>
    </row>
    <row r="159" spans="1:3" x14ac:dyDescent="0.25">
      <c r="A159" t="str">
        <f>Loads!A160</f>
        <v>Ld62</v>
      </c>
      <c r="B159">
        <f>Loads!B160</f>
        <v>8.4</v>
      </c>
      <c r="C159">
        <f>Loads!C160</f>
        <v>0.5</v>
      </c>
    </row>
    <row r="160" spans="1:3" x14ac:dyDescent="0.25">
      <c r="A160" t="str">
        <f>Loads!A161</f>
        <v>Ld63</v>
      </c>
      <c r="B160">
        <f>Loads!B161</f>
        <v>8.1999999999999993</v>
      </c>
      <c r="C160">
        <f>Loads!C161</f>
        <v>0.8</v>
      </c>
    </row>
    <row r="161" spans="1:3" x14ac:dyDescent="0.25">
      <c r="A161" t="str">
        <f>Loads!A162</f>
        <v>Ld69</v>
      </c>
      <c r="B161">
        <f>Loads!B162</f>
        <v>4.8</v>
      </c>
      <c r="C161">
        <f>Loads!C162</f>
        <v>1</v>
      </c>
    </row>
    <row r="162" spans="1:3" x14ac:dyDescent="0.25">
      <c r="A162" t="str">
        <f>Loads!A163</f>
        <v>Ld7</v>
      </c>
      <c r="B162">
        <f>Loads!B163</f>
        <v>6.1</v>
      </c>
      <c r="C162">
        <f>Loads!C163</f>
        <v>1.1000000000000001</v>
      </c>
    </row>
    <row r="163" spans="1:3" x14ac:dyDescent="0.25">
      <c r="A163" t="str">
        <f>Loads!A164</f>
        <v>Ld70</v>
      </c>
      <c r="B163">
        <f>Loads!B164</f>
        <v>13.3</v>
      </c>
      <c r="C163">
        <f>Loads!C164</f>
        <v>1.7</v>
      </c>
    </row>
    <row r="164" spans="1:3" x14ac:dyDescent="0.25">
      <c r="A164" t="str">
        <f>Loads!A165</f>
        <v>Ld7039</v>
      </c>
      <c r="B164">
        <f>Loads!B165</f>
        <v>13.6</v>
      </c>
      <c r="C164">
        <f>Loads!C165</f>
        <v>0.9</v>
      </c>
    </row>
    <row r="165" spans="1:3" x14ac:dyDescent="0.25">
      <c r="A165" t="str">
        <f>Loads!A166</f>
        <v>Ld71</v>
      </c>
      <c r="B165">
        <f>Loads!B166</f>
        <v>6.4</v>
      </c>
      <c r="C165">
        <f>Loads!C166</f>
        <v>0.4</v>
      </c>
    </row>
    <row r="166" spans="1:3" x14ac:dyDescent="0.25">
      <c r="A166" t="str">
        <f>Loads!A167</f>
        <v>Ld72</v>
      </c>
      <c r="B166">
        <f>Loads!B167</f>
        <v>4.7</v>
      </c>
      <c r="C166">
        <f>Loads!C167</f>
        <v>0.1</v>
      </c>
    </row>
    <row r="167" spans="1:3" x14ac:dyDescent="0.25">
      <c r="A167" t="str">
        <f>Loads!A168</f>
        <v>Ld73</v>
      </c>
      <c r="B167">
        <f>Loads!B168</f>
        <v>30</v>
      </c>
      <c r="C167">
        <f>Loads!C168</f>
        <v>0.6</v>
      </c>
    </row>
    <row r="168" spans="1:3" x14ac:dyDescent="0.25">
      <c r="A168" t="str">
        <f>Loads!A169</f>
        <v>Ld74</v>
      </c>
      <c r="B168">
        <f>Loads!B169</f>
        <v>4.4000000000000004</v>
      </c>
      <c r="C168">
        <f>Loads!C169</f>
        <v>0.3</v>
      </c>
    </row>
    <row r="169" spans="1:3" x14ac:dyDescent="0.25">
      <c r="A169" t="str">
        <f>Loads!A170</f>
        <v>Ld76</v>
      </c>
      <c r="B169">
        <f>Loads!B170</f>
        <v>16.3</v>
      </c>
      <c r="C169">
        <f>Loads!C170</f>
        <v>0.1</v>
      </c>
    </row>
    <row r="170" spans="1:3" x14ac:dyDescent="0.25">
      <c r="A170" t="str">
        <f>Loads!A171</f>
        <v>Ld77</v>
      </c>
      <c r="B170">
        <f>Loads!B171</f>
        <v>6.1</v>
      </c>
      <c r="C170">
        <f>Loads!C171</f>
        <v>1.6</v>
      </c>
    </row>
    <row r="171" spans="1:3" x14ac:dyDescent="0.25">
      <c r="A171" t="str">
        <f>Loads!A172</f>
        <v>Ld771</v>
      </c>
      <c r="B171">
        <f>Loads!B172</f>
        <v>5.5</v>
      </c>
      <c r="C171">
        <f>Loads!C172</f>
        <v>0.4</v>
      </c>
    </row>
    <row r="172" spans="1:3" x14ac:dyDescent="0.25">
      <c r="A172" t="str">
        <f>Loads!A173</f>
        <v>Ld772</v>
      </c>
      <c r="B172">
        <f>Loads!B173</f>
        <v>9.6999999999999993</v>
      </c>
      <c r="C172">
        <f>Loads!C173</f>
        <v>1</v>
      </c>
    </row>
    <row r="173" spans="1:3" x14ac:dyDescent="0.25">
      <c r="A173" t="str">
        <f>Loads!A174</f>
        <v>Ld78</v>
      </c>
      <c r="B173">
        <f>Loads!B174</f>
        <v>5.8</v>
      </c>
      <c r="C173">
        <f>Loads!C174</f>
        <v>0.7</v>
      </c>
    </row>
    <row r="174" spans="1:3" x14ac:dyDescent="0.25">
      <c r="A174" t="str">
        <f>Loads!A175</f>
        <v>Ld789</v>
      </c>
      <c r="B174">
        <f>Loads!B175</f>
        <v>9</v>
      </c>
      <c r="C174">
        <f>Loads!C175</f>
        <v>0.2</v>
      </c>
    </row>
    <row r="175" spans="1:3" x14ac:dyDescent="0.25">
      <c r="A175" t="str">
        <f>Loads!A176</f>
        <v>Ld79</v>
      </c>
      <c r="B175">
        <f>Loads!B176</f>
        <v>51.429257736731032</v>
      </c>
      <c r="C175">
        <f>Loads!C176</f>
        <v>0.3</v>
      </c>
    </row>
    <row r="176" spans="1:3" x14ac:dyDescent="0.25">
      <c r="A176" t="str">
        <f>Loads!A177</f>
        <v>Ld8</v>
      </c>
      <c r="B176">
        <f>Loads!B177</f>
        <v>5</v>
      </c>
      <c r="C176">
        <f>Loads!C177</f>
        <v>0.2</v>
      </c>
    </row>
    <row r="177" spans="1:3" x14ac:dyDescent="0.25">
      <c r="A177" t="str">
        <f>Loads!A178</f>
        <v>Ld80</v>
      </c>
      <c r="B177">
        <f>Loads!B178</f>
        <v>4.8</v>
      </c>
      <c r="C177">
        <f>Loads!C178</f>
        <v>0.2</v>
      </c>
    </row>
    <row r="178" spans="1:3" x14ac:dyDescent="0.25">
      <c r="A178" t="str">
        <f>Loads!A179</f>
        <v>Ld81</v>
      </c>
      <c r="B178">
        <f>Loads!B179</f>
        <v>6.8</v>
      </c>
      <c r="C178">
        <f>Loads!C179</f>
        <v>0.2</v>
      </c>
    </row>
    <row r="179" spans="1:3" x14ac:dyDescent="0.25">
      <c r="A179" t="str">
        <f>Loads!A180</f>
        <v>Ld84</v>
      </c>
      <c r="B179">
        <f>Loads!B180</f>
        <v>48.4</v>
      </c>
      <c r="C179">
        <f>Loads!C180</f>
        <v>0.3</v>
      </c>
    </row>
    <row r="180" spans="1:3" x14ac:dyDescent="0.25">
      <c r="A180" t="str">
        <f>Loads!A181</f>
        <v>Ld86</v>
      </c>
      <c r="B180">
        <f>Loads!B181</f>
        <v>4.7</v>
      </c>
      <c r="C180">
        <f>Loads!C181</f>
        <v>6.3</v>
      </c>
    </row>
    <row r="181" spans="1:3" x14ac:dyDescent="0.25">
      <c r="A181" t="str">
        <f>Loads!A182</f>
        <v>Ld87</v>
      </c>
      <c r="B181">
        <f>Loads!B182</f>
        <v>9</v>
      </c>
      <c r="C181">
        <f>Loads!C182</f>
        <v>0.9</v>
      </c>
    </row>
    <row r="182" spans="1:3" x14ac:dyDescent="0.25">
      <c r="A182" t="str">
        <f>Loads!A183</f>
        <v>Ld88</v>
      </c>
      <c r="B182">
        <f>Loads!B183</f>
        <v>4.0999999999999996</v>
      </c>
      <c r="C182">
        <f>Loads!C183</f>
        <v>3.2</v>
      </c>
    </row>
    <row r="183" spans="1:3" x14ac:dyDescent="0.25">
      <c r="A183" t="str">
        <f>Loads!A184</f>
        <v>Ld89</v>
      </c>
      <c r="B183">
        <f>Loads!B184</f>
        <v>51.4</v>
      </c>
      <c r="C183">
        <f>Loads!C184</f>
        <v>0.7</v>
      </c>
    </row>
    <row r="184" spans="1:3" x14ac:dyDescent="0.25">
      <c r="A184" t="str">
        <f>Loads!A185</f>
        <v>Ld9</v>
      </c>
      <c r="B184">
        <f>Loads!B185</f>
        <v>28</v>
      </c>
      <c r="C184">
        <f>Loads!C185</f>
        <v>4.5</v>
      </c>
    </row>
    <row r="185" spans="1:3" x14ac:dyDescent="0.25">
      <c r="A185" t="str">
        <f>Loads!A186</f>
        <v>Ld90</v>
      </c>
      <c r="B185">
        <f>Loads!B186</f>
        <v>26.5</v>
      </c>
      <c r="C185">
        <f>Loads!C186</f>
        <v>0.7</v>
      </c>
    </row>
    <row r="186" spans="1:3" x14ac:dyDescent="0.25">
      <c r="A186" t="str">
        <f>Loads!A187</f>
        <v>Ld9001</v>
      </c>
      <c r="B186">
        <f>Loads!B187</f>
        <v>8.3000000000000007</v>
      </c>
      <c r="C186">
        <f>Loads!C187</f>
        <v>2</v>
      </c>
    </row>
    <row r="187" spans="1:3" x14ac:dyDescent="0.25">
      <c r="A187" t="str">
        <f>Loads!A188</f>
        <v>Ld91</v>
      </c>
      <c r="B187">
        <f>Loads!B188</f>
        <v>12.9</v>
      </c>
      <c r="C187">
        <f>Loads!C188</f>
        <v>0.6</v>
      </c>
    </row>
    <row r="188" spans="1:3" x14ac:dyDescent="0.25">
      <c r="A188" t="str">
        <f>Loads!A189</f>
        <v>Ld92</v>
      </c>
      <c r="B188">
        <f>Loads!B189</f>
        <v>87.4</v>
      </c>
      <c r="C188">
        <f>Loads!C189</f>
        <v>3.2</v>
      </c>
    </row>
    <row r="189" spans="1:3" x14ac:dyDescent="0.25">
      <c r="A189" t="str">
        <f>Loads!A190</f>
        <v>Ld94</v>
      </c>
      <c r="B189">
        <f>Loads!B190</f>
        <v>34.076782410540631</v>
      </c>
      <c r="C189">
        <f>Loads!C190</f>
        <v>9.6999999999999993</v>
      </c>
    </row>
    <row r="190" spans="1:3" x14ac:dyDescent="0.25">
      <c r="A190" t="str">
        <f>Loads!A191</f>
        <v>Ld97</v>
      </c>
      <c r="B190">
        <f>Loads!B191</f>
        <v>8.1999999999999993</v>
      </c>
      <c r="C190">
        <f>Loads!C191</f>
        <v>7</v>
      </c>
    </row>
    <row r="191" spans="1:3" x14ac:dyDescent="0.25">
      <c r="A191" t="str">
        <f>Loads!A192</f>
        <v>Ld98</v>
      </c>
      <c r="B191">
        <f>Loads!B192</f>
        <v>33.799999999999997</v>
      </c>
      <c r="C191">
        <f>Loads!C192</f>
        <v>1.9</v>
      </c>
    </row>
    <row r="192" spans="1:3" x14ac:dyDescent="0.25">
      <c r="A192" t="str">
        <f>Loads!A193</f>
        <v>Ld99</v>
      </c>
      <c r="B192">
        <f>Loads!B193</f>
        <v>30.9</v>
      </c>
      <c r="C192">
        <f>Loads!C193</f>
        <v>4.5</v>
      </c>
    </row>
    <row r="194" spans="1:3" x14ac:dyDescent="0.25">
      <c r="A194" t="str">
        <f>Generators!A2</f>
        <v>Gen1</v>
      </c>
      <c r="B194">
        <f>Generators!B2</f>
        <v>40.200000000000003</v>
      </c>
      <c r="C194">
        <f>Generators!C2</f>
        <v>20.100000000000001</v>
      </c>
    </row>
    <row r="195" spans="1:3" x14ac:dyDescent="0.25">
      <c r="A195" t="str">
        <f>Generators!A3</f>
        <v>Gen10</v>
      </c>
      <c r="B195">
        <f>Generators!B3</f>
        <v>30.5</v>
      </c>
      <c r="C195">
        <f>Generators!C3</f>
        <v>-1.2</v>
      </c>
    </row>
    <row r="196" spans="1:3" x14ac:dyDescent="0.25">
      <c r="A196" t="str">
        <f>Generators!A4</f>
        <v>Gen10029</v>
      </c>
      <c r="B196">
        <f>Generators!B4</f>
        <v>51.7</v>
      </c>
      <c r="C196">
        <f>Generators!C4</f>
        <v>-25.85</v>
      </c>
    </row>
    <row r="197" spans="1:3" x14ac:dyDescent="0.25">
      <c r="A197" t="str">
        <f>Generators!A5</f>
        <v>Gen108</v>
      </c>
      <c r="B197">
        <f>Generators!B5</f>
        <v>42.8</v>
      </c>
      <c r="C197">
        <f>Generators!C5</f>
        <v>11.9</v>
      </c>
    </row>
    <row r="198" spans="1:3" x14ac:dyDescent="0.25">
      <c r="A198" t="str">
        <f>Generators!A6</f>
        <v>Gen11</v>
      </c>
      <c r="B198">
        <f>Generators!B6</f>
        <v>22.9</v>
      </c>
      <c r="C198">
        <f>Generators!C6</f>
        <v>11.45</v>
      </c>
    </row>
    <row r="199" spans="1:3" x14ac:dyDescent="0.25">
      <c r="A199" t="str">
        <f>Generators!A7</f>
        <v>Gen119</v>
      </c>
      <c r="B199">
        <f>Generators!B7</f>
        <v>100.1</v>
      </c>
      <c r="C199">
        <f>Generators!C7</f>
        <v>50.05</v>
      </c>
    </row>
    <row r="200" spans="1:3" x14ac:dyDescent="0.25">
      <c r="A200" t="str">
        <f>Generators!A8</f>
        <v>Gen124</v>
      </c>
      <c r="B200">
        <f>Generators!B8</f>
        <v>29.3</v>
      </c>
      <c r="C200">
        <f>Generators!C8</f>
        <v>14.65</v>
      </c>
    </row>
    <row r="201" spans="1:3" x14ac:dyDescent="0.25">
      <c r="A201" t="str">
        <f>Generators!A9</f>
        <v>Gen125</v>
      </c>
      <c r="B201">
        <f>Generators!B9</f>
        <v>50</v>
      </c>
      <c r="C201">
        <f>Generators!C9</f>
        <v>25</v>
      </c>
    </row>
    <row r="202" spans="1:3" x14ac:dyDescent="0.25">
      <c r="A202" t="str">
        <f>Generators!A10</f>
        <v>Gen126</v>
      </c>
      <c r="B202">
        <f>Generators!B10</f>
        <v>45.1</v>
      </c>
      <c r="C202">
        <f>Generators!C10</f>
        <v>-22.55</v>
      </c>
    </row>
    <row r="203" spans="1:3" x14ac:dyDescent="0.25">
      <c r="A203" t="str">
        <f>Generators!A11</f>
        <v>Gen130</v>
      </c>
      <c r="B203">
        <f>Generators!B11</f>
        <v>32.700000000000003</v>
      </c>
      <c r="C203">
        <f>Generators!C11</f>
        <v>-16.350000000000001</v>
      </c>
    </row>
    <row r="204" spans="1:3" x14ac:dyDescent="0.25">
      <c r="A204" t="str">
        <f>Generators!A12</f>
        <v>Gen138</v>
      </c>
      <c r="B204">
        <f>Generators!B12</f>
        <v>3.6</v>
      </c>
      <c r="C204">
        <f>Generators!C12</f>
        <v>-1.8</v>
      </c>
    </row>
    <row r="205" spans="1:3" x14ac:dyDescent="0.25">
      <c r="A205" t="str">
        <f>Generators!A13</f>
        <v>Gen139</v>
      </c>
      <c r="B205">
        <f>Generators!B13</f>
        <v>100</v>
      </c>
      <c r="C205">
        <f>Generators!C13</f>
        <v>50</v>
      </c>
    </row>
    <row r="206" spans="1:3" x14ac:dyDescent="0.25">
      <c r="A206" t="str">
        <f>Generators!A14</f>
        <v>Gen141</v>
      </c>
      <c r="B206">
        <f>Generators!B14</f>
        <v>230</v>
      </c>
      <c r="C206">
        <f>Generators!C14</f>
        <v>-18.3</v>
      </c>
    </row>
    <row r="207" spans="1:3" x14ac:dyDescent="0.25">
      <c r="A207" t="str">
        <f>Generators!A15</f>
        <v>Gen143</v>
      </c>
      <c r="B207">
        <f>Generators!B15</f>
        <v>44.9</v>
      </c>
      <c r="C207">
        <f>Generators!C15</f>
        <v>-22.45</v>
      </c>
    </row>
    <row r="208" spans="1:3" x14ac:dyDescent="0.25">
      <c r="A208" t="str">
        <f>Generators!A16</f>
        <v>Gen146</v>
      </c>
      <c r="B208">
        <f>Generators!B16</f>
        <v>49.8</v>
      </c>
      <c r="C208">
        <f>Generators!C16</f>
        <v>-19.600000000000001</v>
      </c>
    </row>
    <row r="209" spans="1:3" x14ac:dyDescent="0.25">
      <c r="A209" t="str">
        <f>Generators!A17</f>
        <v>Gen147</v>
      </c>
      <c r="B209">
        <f>Generators!B17</f>
        <v>13.1</v>
      </c>
      <c r="C209">
        <f>Generators!C17</f>
        <v>-6.55</v>
      </c>
    </row>
    <row r="210" spans="1:3" x14ac:dyDescent="0.25">
      <c r="A210" t="str">
        <f>Generators!A18</f>
        <v>Gen149</v>
      </c>
      <c r="B210">
        <f>Generators!B18</f>
        <v>32.700000000000003</v>
      </c>
      <c r="C210">
        <f>Generators!C18</f>
        <v>-12.9</v>
      </c>
    </row>
    <row r="211" spans="1:3" x14ac:dyDescent="0.25">
      <c r="A211" t="str">
        <f>Generators!A19</f>
        <v>Gen152</v>
      </c>
      <c r="B211">
        <f>Generators!B19</f>
        <v>17.899999999999999</v>
      </c>
      <c r="C211">
        <f>Generators!C19</f>
        <v>-8.9499999999999993</v>
      </c>
    </row>
    <row r="212" spans="1:3" x14ac:dyDescent="0.25">
      <c r="A212" t="str">
        <f>Generators!A20</f>
        <v>Gen153</v>
      </c>
      <c r="B212">
        <f>Generators!B20</f>
        <v>54.9</v>
      </c>
      <c r="C212">
        <f>Generators!C20</f>
        <v>-19.600000000000001</v>
      </c>
    </row>
    <row r="213" spans="1:3" x14ac:dyDescent="0.25">
      <c r="A213" t="str">
        <f>Generators!A21</f>
        <v>Gen156</v>
      </c>
      <c r="B213">
        <f>Generators!B21</f>
        <v>30.5</v>
      </c>
      <c r="C213">
        <f>Generators!C21</f>
        <v>15.25</v>
      </c>
    </row>
    <row r="214" spans="1:3" x14ac:dyDescent="0.25">
      <c r="A214" t="str">
        <f>Generators!A22</f>
        <v>Gen166</v>
      </c>
      <c r="B214">
        <f>Generators!B22</f>
        <v>59.7</v>
      </c>
      <c r="C214">
        <f>Generators!C22</f>
        <v>-20.100000000000001</v>
      </c>
    </row>
    <row r="215" spans="1:3" x14ac:dyDescent="0.25">
      <c r="A215" t="str">
        <f>Generators!A23</f>
        <v>Gen17</v>
      </c>
      <c r="B215">
        <f>Generators!B23</f>
        <v>18.3</v>
      </c>
      <c r="C215">
        <f>Generators!C23</f>
        <v>-9.15</v>
      </c>
    </row>
    <row r="216" spans="1:3" x14ac:dyDescent="0.25">
      <c r="A216" t="str">
        <f>Generators!A24</f>
        <v>Gen170</v>
      </c>
      <c r="B216">
        <f>Generators!B24</f>
        <v>44.3</v>
      </c>
      <c r="C216">
        <f>Generators!C24</f>
        <v>22.15</v>
      </c>
    </row>
    <row r="217" spans="1:3" x14ac:dyDescent="0.25">
      <c r="A217" t="str">
        <f>Generators!A25</f>
        <v>Gen171</v>
      </c>
      <c r="B217">
        <f>Generators!B25</f>
        <v>105.7</v>
      </c>
      <c r="C217">
        <f>Generators!C25</f>
        <v>-13.1</v>
      </c>
    </row>
    <row r="218" spans="1:3" x14ac:dyDescent="0.25">
      <c r="A218" t="str">
        <f>Generators!A26</f>
        <v>Gen175</v>
      </c>
      <c r="B218">
        <f>Generators!B26</f>
        <v>31.8</v>
      </c>
      <c r="C218">
        <f>Generators!C26</f>
        <v>15.9</v>
      </c>
    </row>
    <row r="219" spans="1:3" x14ac:dyDescent="0.25">
      <c r="A219" t="str">
        <f>Generators!A27</f>
        <v>Gen177</v>
      </c>
      <c r="B219">
        <f>Generators!B27</f>
        <v>29.6</v>
      </c>
      <c r="C219">
        <f>Generators!C27</f>
        <v>14.8</v>
      </c>
    </row>
    <row r="220" spans="1:3" x14ac:dyDescent="0.25">
      <c r="A220" t="str">
        <f>Generators!A28</f>
        <v>Gen186</v>
      </c>
      <c r="B220">
        <f>Generators!B28</f>
        <v>23.1</v>
      </c>
      <c r="C220">
        <f>Generators!C28</f>
        <v>-11.4</v>
      </c>
    </row>
    <row r="221" spans="1:3" x14ac:dyDescent="0.25">
      <c r="A221" t="str">
        <f>Generators!A29</f>
        <v>Gen187</v>
      </c>
      <c r="B221">
        <f>Generators!B29</f>
        <v>51.5</v>
      </c>
      <c r="C221">
        <f>Generators!C29</f>
        <v>-17.600000000000001</v>
      </c>
    </row>
    <row r="222" spans="1:3" x14ac:dyDescent="0.25">
      <c r="A222" t="str">
        <f>Generators!A30</f>
        <v>Gen191</v>
      </c>
      <c r="B222">
        <f>Generators!B30</f>
        <v>32.200000000000003</v>
      </c>
      <c r="C222">
        <f>Generators!C30</f>
        <v>-16.100000000000001</v>
      </c>
    </row>
    <row r="223" spans="1:3" x14ac:dyDescent="0.25">
      <c r="A223" t="str">
        <f>Generators!A31</f>
        <v>Gen198</v>
      </c>
      <c r="B223">
        <f>Generators!B31</f>
        <v>3.2</v>
      </c>
      <c r="C223">
        <f>Generators!C31</f>
        <v>-1.6</v>
      </c>
    </row>
    <row r="224" spans="1:3" x14ac:dyDescent="0.25">
      <c r="A224" t="str">
        <f>Generators!A32</f>
        <v>Gen2</v>
      </c>
      <c r="B224">
        <f>Generators!B32</f>
        <v>66.900000000000006</v>
      </c>
      <c r="C224">
        <f>Generators!C32</f>
        <v>33.450000000000003</v>
      </c>
    </row>
    <row r="225" spans="1:3" x14ac:dyDescent="0.25">
      <c r="A225" t="str">
        <f>Generators!A33</f>
        <v>Gen20</v>
      </c>
      <c r="B225">
        <f>Generators!B33</f>
        <v>30.9</v>
      </c>
      <c r="C225">
        <f>Generators!C33</f>
        <v>15.45</v>
      </c>
    </row>
    <row r="226" spans="1:3" x14ac:dyDescent="0.25">
      <c r="A226" t="str">
        <f>Generators!A34</f>
        <v>Gen214</v>
      </c>
      <c r="B226">
        <f>Generators!B34</f>
        <v>13.9</v>
      </c>
      <c r="C226">
        <f>Generators!C34</f>
        <v>-6.95</v>
      </c>
    </row>
    <row r="227" spans="1:3" x14ac:dyDescent="0.25">
      <c r="A227" t="str">
        <f>Generators!A35</f>
        <v>Gen220</v>
      </c>
      <c r="B227">
        <f>Generators!B35</f>
        <v>53.9</v>
      </c>
      <c r="C227">
        <f>Generators!C35</f>
        <v>26.95</v>
      </c>
    </row>
    <row r="228" spans="1:3" x14ac:dyDescent="0.25">
      <c r="A228" t="str">
        <f>Generators!A36</f>
        <v>Gen221</v>
      </c>
      <c r="B228">
        <f>Generators!B36</f>
        <v>6.6</v>
      </c>
      <c r="C228">
        <f>Generators!C36</f>
        <v>3.3</v>
      </c>
    </row>
    <row r="229" spans="1:3" x14ac:dyDescent="0.25">
      <c r="A229" t="str">
        <f>Generators!A37</f>
        <v>Gen222</v>
      </c>
      <c r="B229">
        <f>Generators!B37</f>
        <v>16.8</v>
      </c>
      <c r="C229">
        <f>Generators!C37</f>
        <v>-8.4</v>
      </c>
    </row>
    <row r="230" spans="1:3" x14ac:dyDescent="0.25">
      <c r="A230" t="str">
        <f>Generators!A38</f>
        <v>Gen227</v>
      </c>
      <c r="B230">
        <f>Generators!B38</f>
        <v>62.3</v>
      </c>
      <c r="C230">
        <f>Generators!C38</f>
        <v>-31.15</v>
      </c>
    </row>
    <row r="231" spans="1:3" x14ac:dyDescent="0.25">
      <c r="A231" t="str">
        <f>Generators!A39</f>
        <v>Gen23</v>
      </c>
      <c r="B231">
        <f>Generators!B39</f>
        <v>11.2</v>
      </c>
      <c r="C231">
        <f>Generators!C39</f>
        <v>5.6</v>
      </c>
    </row>
    <row r="232" spans="1:3" x14ac:dyDescent="0.25">
      <c r="A232" t="str">
        <f>Generators!A40</f>
        <v>Gen230</v>
      </c>
      <c r="B232">
        <f>Generators!B40</f>
        <v>10.7</v>
      </c>
      <c r="C232">
        <f>Generators!C40</f>
        <v>-5.35</v>
      </c>
    </row>
    <row r="233" spans="1:3" x14ac:dyDescent="0.25">
      <c r="A233" t="str">
        <f>Generators!A41</f>
        <v>Gen236</v>
      </c>
      <c r="B233">
        <f>Generators!B41</f>
        <v>100</v>
      </c>
      <c r="C233">
        <f>Generators!C41</f>
        <v>50</v>
      </c>
    </row>
    <row r="234" spans="1:3" x14ac:dyDescent="0.25">
      <c r="A234" t="str">
        <f>Generators!A42</f>
        <v>Gen238</v>
      </c>
      <c r="B234">
        <f>Generators!B42</f>
        <v>55.7</v>
      </c>
      <c r="C234">
        <f>Generators!C42</f>
        <v>-27.85</v>
      </c>
    </row>
    <row r="235" spans="1:3" x14ac:dyDescent="0.25">
      <c r="A235" t="str">
        <f>Generators!A43</f>
        <v>Gen239</v>
      </c>
      <c r="B235">
        <f>Generators!B43</f>
        <v>43.2</v>
      </c>
      <c r="C235">
        <f>Generators!C43</f>
        <v>21.6</v>
      </c>
    </row>
    <row r="236" spans="1:3" x14ac:dyDescent="0.25">
      <c r="A236" t="str">
        <f>Generators!A44</f>
        <v>Gen24</v>
      </c>
      <c r="B236">
        <f>Generators!B44</f>
        <v>70</v>
      </c>
      <c r="C236">
        <f>Generators!C44</f>
        <v>-35.4</v>
      </c>
    </row>
    <row r="237" spans="1:3" x14ac:dyDescent="0.25">
      <c r="A237" t="str">
        <f>Generators!A45</f>
        <v>Gen241</v>
      </c>
      <c r="B237">
        <f>Generators!B45</f>
        <v>47.8</v>
      </c>
      <c r="C237">
        <f>Generators!C45</f>
        <v>-23.9</v>
      </c>
    </row>
    <row r="238" spans="1:3" x14ac:dyDescent="0.25">
      <c r="A238" t="str">
        <f>Generators!A46</f>
        <v>Gen242</v>
      </c>
      <c r="B238">
        <f>Generators!B46</f>
        <v>46.9</v>
      </c>
      <c r="C238">
        <f>Generators!C46</f>
        <v>1.1000000000000001</v>
      </c>
    </row>
    <row r="239" spans="1:3" x14ac:dyDescent="0.25">
      <c r="A239" t="str">
        <f>Generators!A47</f>
        <v>Gen243</v>
      </c>
      <c r="B239">
        <f>Generators!B47</f>
        <v>100</v>
      </c>
      <c r="C239">
        <f>Generators!C47</f>
        <v>8.5</v>
      </c>
    </row>
    <row r="240" spans="1:3" x14ac:dyDescent="0.25">
      <c r="A240" t="str">
        <f>Generators!A48</f>
        <v>Gen3</v>
      </c>
      <c r="B240">
        <f>Generators!B48</f>
        <v>70</v>
      </c>
      <c r="C240">
        <f>Generators!C48</f>
        <v>-71.75</v>
      </c>
    </row>
    <row r="241" spans="1:3" x14ac:dyDescent="0.25">
      <c r="A241" t="str">
        <f>Generators!A49</f>
        <v>Gen372</v>
      </c>
      <c r="B241">
        <f>Generators!B49</f>
        <v>90</v>
      </c>
      <c r="C241">
        <f>Generators!C49</f>
        <v>-11.15</v>
      </c>
    </row>
    <row r="242" spans="1:3" x14ac:dyDescent="0.25">
      <c r="A242" t="str">
        <f>Generators!A50</f>
        <v>Gen44</v>
      </c>
      <c r="B242">
        <f>Generators!B50</f>
        <v>26.8</v>
      </c>
      <c r="C242">
        <f>Generators!C50</f>
        <v>13.4</v>
      </c>
    </row>
    <row r="243" spans="1:3" x14ac:dyDescent="0.25">
      <c r="A243" t="str">
        <f>Generators!A51</f>
        <v>Gen45</v>
      </c>
      <c r="B243">
        <f>Generators!B51</f>
        <v>70</v>
      </c>
      <c r="C243">
        <f>Generators!C51</f>
        <v>-18.75</v>
      </c>
    </row>
    <row r="244" spans="1:3" x14ac:dyDescent="0.25">
      <c r="A244" t="str">
        <f>Generators!A53</f>
        <v>Gen49</v>
      </c>
      <c r="B244">
        <f>Generators!B53</f>
        <v>53.3</v>
      </c>
      <c r="C244">
        <f>Generators!C53</f>
        <v>-16.899999999999999</v>
      </c>
    </row>
    <row r="245" spans="1:3" x14ac:dyDescent="0.25">
      <c r="A245" t="str">
        <f>Generators!A54</f>
        <v>Gen55</v>
      </c>
      <c r="B245">
        <f>Generators!B54</f>
        <v>62</v>
      </c>
      <c r="C245">
        <f>Generators!C54</f>
        <v>-4.5999999999999996</v>
      </c>
    </row>
    <row r="246" spans="1:3" x14ac:dyDescent="0.25">
      <c r="A246" t="str">
        <f>Generators!A55</f>
        <v>Gen57</v>
      </c>
      <c r="B246">
        <f>Generators!B55</f>
        <v>18.899999999999999</v>
      </c>
      <c r="C246">
        <f>Generators!C55</f>
        <v>-2.7</v>
      </c>
    </row>
    <row r="247" spans="1:3" x14ac:dyDescent="0.25">
      <c r="A247" t="str">
        <f>Generators!A56</f>
        <v>Gen61</v>
      </c>
      <c r="B247">
        <f>Generators!B56</f>
        <v>8</v>
      </c>
      <c r="C247">
        <f>Generators!C56</f>
        <v>4</v>
      </c>
    </row>
    <row r="248" spans="1:3" x14ac:dyDescent="0.25">
      <c r="A248" t="str">
        <f>Generators!A57</f>
        <v>Gen62</v>
      </c>
      <c r="B248">
        <f>Generators!B57</f>
        <v>70</v>
      </c>
      <c r="C248">
        <f>Generators!C57</f>
        <v>-25.4</v>
      </c>
    </row>
    <row r="249" spans="1:3" x14ac:dyDescent="0.25">
      <c r="A249" t="str">
        <f>Generators!A58</f>
        <v>Gen63</v>
      </c>
      <c r="B249">
        <f>Generators!B58</f>
        <v>33.799999999999997</v>
      </c>
      <c r="C249">
        <f>Generators!C58</f>
        <v>-16.899999999999999</v>
      </c>
    </row>
    <row r="250" spans="1:3" x14ac:dyDescent="0.25">
      <c r="A250" t="str">
        <f>Generators!A59</f>
        <v>Gen7039</v>
      </c>
      <c r="B250">
        <f>Generators!B59</f>
        <v>90</v>
      </c>
      <c r="C250">
        <f>Generators!C59</f>
        <v>-8.6</v>
      </c>
    </row>
    <row r="251" spans="1:3" x14ac:dyDescent="0.25">
      <c r="A251" t="str">
        <f>Generators!A60</f>
        <v>Gen71</v>
      </c>
      <c r="B251">
        <f>Generators!B60</f>
        <v>80</v>
      </c>
      <c r="C251">
        <f>Generators!C60</f>
        <v>11.4</v>
      </c>
    </row>
    <row r="252" spans="1:3" x14ac:dyDescent="0.25">
      <c r="A252" t="str">
        <f>Generators!A62</f>
        <v>Gen76</v>
      </c>
      <c r="B252">
        <f>Generators!B62</f>
        <v>63.5</v>
      </c>
      <c r="C252">
        <f>Generators!C62</f>
        <v>31.75</v>
      </c>
    </row>
    <row r="253" spans="1:3" x14ac:dyDescent="0.25">
      <c r="A253" t="str">
        <f>Generators!A63</f>
        <v>Gen772</v>
      </c>
      <c r="B253">
        <f>Generators!B63</f>
        <v>90</v>
      </c>
      <c r="C253">
        <f>Generators!C63</f>
        <v>-20.3</v>
      </c>
    </row>
    <row r="254" spans="1:3" x14ac:dyDescent="0.25">
      <c r="A254" t="str">
        <f>Generators!A64</f>
        <v>Gen8</v>
      </c>
      <c r="B254">
        <f>Generators!B64</f>
        <v>31.7</v>
      </c>
      <c r="C254">
        <f>Generators!C64</f>
        <v>-6.3</v>
      </c>
    </row>
    <row r="255" spans="1:3" x14ac:dyDescent="0.25">
      <c r="A255" t="str">
        <f>Generators!A65</f>
        <v>Gen84</v>
      </c>
      <c r="B255">
        <f>Generators!B65</f>
        <v>77</v>
      </c>
      <c r="C255">
        <f>Generators!C65</f>
        <v>-10.4</v>
      </c>
    </row>
    <row r="256" spans="1:3" x14ac:dyDescent="0.25">
      <c r="A256" t="str">
        <f>Generators!A66</f>
        <v>Gen9001</v>
      </c>
      <c r="B256">
        <f>Generators!B66</f>
        <v>96.7</v>
      </c>
      <c r="C256">
        <f>Generators!C66</f>
        <v>-20.100000000000001</v>
      </c>
    </row>
    <row r="257" spans="1:3" x14ac:dyDescent="0.25">
      <c r="A257" t="str">
        <f>Generators!A67</f>
        <v>Gen91</v>
      </c>
      <c r="B257">
        <f>Generators!B67</f>
        <v>41.5</v>
      </c>
      <c r="C257">
        <f>Generators!C67</f>
        <v>-20.75</v>
      </c>
    </row>
    <row r="258" spans="1:3" x14ac:dyDescent="0.25">
      <c r="A258" t="str">
        <f>Generators!A68</f>
        <v>Gen92</v>
      </c>
      <c r="B258">
        <f>Generators!B68</f>
        <v>1.2</v>
      </c>
      <c r="C258">
        <f>Generators!C68</f>
        <v>0.4</v>
      </c>
    </row>
    <row r="260" spans="1:3" x14ac:dyDescent="0.25">
      <c r="A260" t="str">
        <f>StatGen!A2</f>
        <v>FW.10</v>
      </c>
      <c r="B260">
        <f>StatGen!B2</f>
        <v>0</v>
      </c>
      <c r="C260">
        <f>StatGen!C2</f>
        <v>0</v>
      </c>
    </row>
    <row r="261" spans="1:3" x14ac:dyDescent="0.25">
      <c r="A261" t="str">
        <f>StatGen!A3</f>
        <v>FW.13</v>
      </c>
      <c r="B261">
        <f>StatGen!B3</f>
        <v>0</v>
      </c>
      <c r="C261">
        <f>StatGen!C3</f>
        <v>0</v>
      </c>
    </row>
    <row r="262" spans="1:3" x14ac:dyDescent="0.25">
      <c r="A262" t="str">
        <f>StatGen!A4</f>
        <v>FW.20</v>
      </c>
      <c r="B262">
        <f>StatGen!B4</f>
        <v>0</v>
      </c>
      <c r="C262">
        <f>StatGen!C4</f>
        <v>0</v>
      </c>
    </row>
    <row r="263" spans="1:3" x14ac:dyDescent="0.25">
      <c r="A263" t="str">
        <f>StatGen!A5</f>
        <v>FW.21</v>
      </c>
      <c r="B263">
        <f>StatGen!B5</f>
        <v>0</v>
      </c>
      <c r="C263">
        <f>StatGen!C5</f>
        <v>0</v>
      </c>
    </row>
    <row r="264" spans="1:3" x14ac:dyDescent="0.25">
      <c r="A264" t="str">
        <f>StatGen!A6</f>
        <v>FW.7</v>
      </c>
      <c r="B264">
        <f>StatGen!B6</f>
        <v>0</v>
      </c>
      <c r="C264">
        <f>StatGen!C6</f>
        <v>0</v>
      </c>
    </row>
    <row r="265" spans="1:3" x14ac:dyDescent="0.25">
      <c r="A265" t="str">
        <f>StatGen!A7</f>
        <v>FW.11</v>
      </c>
      <c r="B265">
        <f>StatGen!B7</f>
        <v>0</v>
      </c>
      <c r="C265">
        <f>StatGen!C7</f>
        <v>0</v>
      </c>
    </row>
    <row r="266" spans="1:3" x14ac:dyDescent="0.25">
      <c r="A266" t="str">
        <f>StatGen!A8</f>
        <v>FW.5</v>
      </c>
      <c r="B266">
        <f>StatGen!B8</f>
        <v>0</v>
      </c>
      <c r="C266">
        <f>StatGen!C8</f>
        <v>0</v>
      </c>
    </row>
    <row r="267" spans="1:3" x14ac:dyDescent="0.25">
      <c r="A267" t="str">
        <f>StatGen!A9</f>
        <v>FW.6</v>
      </c>
      <c r="B267">
        <f>StatGen!B9</f>
        <v>0</v>
      </c>
      <c r="C267">
        <f>StatGen!C9</f>
        <v>0</v>
      </c>
    </row>
    <row r="268" spans="1:3" x14ac:dyDescent="0.25">
      <c r="A268" t="str">
        <f>StatGen!A10</f>
        <v>FW.8</v>
      </c>
      <c r="B268">
        <f>StatGen!B10</f>
        <v>0</v>
      </c>
      <c r="C268">
        <f>StatGen!C10</f>
        <v>0</v>
      </c>
    </row>
    <row r="269" spans="1:3" x14ac:dyDescent="0.25">
      <c r="A269" t="str">
        <f>StatGen!A11</f>
        <v>FW.14</v>
      </c>
      <c r="B269">
        <f>StatGen!B11</f>
        <v>0</v>
      </c>
      <c r="C269">
        <f>StatGen!C11</f>
        <v>0</v>
      </c>
    </row>
    <row r="270" spans="1:3" x14ac:dyDescent="0.25">
      <c r="A270" t="str">
        <f>StatGen!A12</f>
        <v>FW.2</v>
      </c>
      <c r="B270">
        <f>StatGen!B12</f>
        <v>0</v>
      </c>
      <c r="C270">
        <f>StatGen!C12</f>
        <v>0</v>
      </c>
    </row>
    <row r="271" spans="1:3" x14ac:dyDescent="0.25">
      <c r="A271" t="str">
        <f>StatGen!A13</f>
        <v>FW.9</v>
      </c>
      <c r="B271">
        <f>StatGen!B13</f>
        <v>0</v>
      </c>
      <c r="C271">
        <f>StatGen!C13</f>
        <v>0</v>
      </c>
    </row>
    <row r="272" spans="1:3" x14ac:dyDescent="0.25">
      <c r="A272" t="str">
        <f>StatGen!A14</f>
        <v>FW.19</v>
      </c>
      <c r="B272">
        <f>StatGen!B14</f>
        <v>0</v>
      </c>
      <c r="C272">
        <f>StatGen!C14</f>
        <v>0</v>
      </c>
    </row>
    <row r="273" spans="1:3" x14ac:dyDescent="0.25">
      <c r="A273" t="str">
        <f>StatGen!A15</f>
        <v>FW.22</v>
      </c>
      <c r="B273">
        <f>StatGen!B15</f>
        <v>0</v>
      </c>
      <c r="C273">
        <f>StatGen!C15</f>
        <v>0</v>
      </c>
    </row>
    <row r="274" spans="1:3" x14ac:dyDescent="0.25">
      <c r="A274" t="str">
        <f>StatGen!A16</f>
        <v>FW.207</v>
      </c>
      <c r="B274">
        <f>StatGen!B16</f>
        <v>0</v>
      </c>
      <c r="C274">
        <f>StatGen!C16</f>
        <v>0</v>
      </c>
    </row>
    <row r="275" spans="1:3" x14ac:dyDescent="0.25">
      <c r="A275" t="str">
        <f>StatGen!A17</f>
        <v>FW.114</v>
      </c>
      <c r="B275">
        <f>StatGen!B17</f>
        <v>0</v>
      </c>
      <c r="C275">
        <f>StatGen!C17</f>
        <v>0</v>
      </c>
    </row>
    <row r="276" spans="1:3" x14ac:dyDescent="0.25">
      <c r="A276" t="str">
        <f>StatGen!A18</f>
        <v>FW.27</v>
      </c>
      <c r="B276">
        <f>StatGen!B18</f>
        <v>0</v>
      </c>
      <c r="C276">
        <f>StatGen!C18</f>
        <v>0</v>
      </c>
    </row>
    <row r="277" spans="1:3" x14ac:dyDescent="0.25">
      <c r="A277" t="str">
        <f>StatGen!A19</f>
        <v>FW.26</v>
      </c>
      <c r="B277">
        <f>StatGen!B19</f>
        <v>0</v>
      </c>
      <c r="C277">
        <f>StatGen!C19</f>
        <v>0</v>
      </c>
    </row>
    <row r="278" spans="1:3" x14ac:dyDescent="0.25">
      <c r="A278" t="str">
        <f>StatGen!A20</f>
        <v>FW.320</v>
      </c>
      <c r="B278">
        <f>StatGen!B20</f>
        <v>0</v>
      </c>
      <c r="C278">
        <f>StatGen!C20</f>
        <v>0</v>
      </c>
    </row>
    <row r="279" spans="1:3" x14ac:dyDescent="0.25">
      <c r="A279" t="str">
        <f>StatGen!A21</f>
        <v>FW.25</v>
      </c>
      <c r="B279">
        <f>StatGen!B21</f>
        <v>0</v>
      </c>
      <c r="C279">
        <f>StatGen!C21</f>
        <v>0</v>
      </c>
    </row>
    <row r="280" spans="1:3" x14ac:dyDescent="0.25">
      <c r="A280" t="str">
        <f>StatGen!A22</f>
        <v>FW.109</v>
      </c>
      <c r="B280">
        <f>StatGen!B22</f>
        <v>0</v>
      </c>
      <c r="C280">
        <f>StatGen!C22</f>
        <v>0</v>
      </c>
    </row>
    <row r="281" spans="1:3" x14ac:dyDescent="0.25">
      <c r="A281" t="str">
        <f>StatGen!A23</f>
        <v>FW.113</v>
      </c>
      <c r="B281">
        <f>StatGen!B23</f>
        <v>0</v>
      </c>
      <c r="C281">
        <f>StatGen!C23</f>
        <v>0</v>
      </c>
    </row>
    <row r="282" spans="1:3" x14ac:dyDescent="0.25">
      <c r="A282" t="str">
        <f>StatGen!A24</f>
        <v>FW.24</v>
      </c>
      <c r="B282">
        <f>StatGen!B24</f>
        <v>0</v>
      </c>
      <c r="C282">
        <f>StatGen!C24</f>
        <v>0</v>
      </c>
    </row>
    <row r="283" spans="1:3" x14ac:dyDescent="0.25">
      <c r="A283" t="str">
        <f>StatGen!A25</f>
        <v>FW.23</v>
      </c>
      <c r="B283">
        <f>StatGen!B25</f>
        <v>0</v>
      </c>
      <c r="C283">
        <f>StatGen!C25</f>
        <v>0</v>
      </c>
    </row>
    <row r="284" spans="1:3" x14ac:dyDescent="0.25">
      <c r="A284" t="str">
        <f>StatGen!A26</f>
        <v>FW.319</v>
      </c>
      <c r="B284">
        <f>StatGen!B26</f>
        <v>0</v>
      </c>
      <c r="C284">
        <f>StatGen!C26</f>
        <v>0</v>
      </c>
    </row>
    <row r="285" spans="1:3" x14ac:dyDescent="0.25">
      <c r="A285" t="str">
        <f>StatGen!A27</f>
        <v>FW.70</v>
      </c>
      <c r="B285">
        <f>StatGen!B27</f>
        <v>0</v>
      </c>
      <c r="C285">
        <f>StatGen!C27</f>
        <v>0</v>
      </c>
    </row>
    <row r="286" spans="1:3" x14ac:dyDescent="0.25">
      <c r="A286" t="str">
        <f>StatGen!A28</f>
        <v>FW.47</v>
      </c>
      <c r="B286">
        <f>StatGen!B28</f>
        <v>0</v>
      </c>
      <c r="C286">
        <f>StatGen!C28</f>
        <v>0</v>
      </c>
    </row>
    <row r="287" spans="1:3" x14ac:dyDescent="0.25">
      <c r="A287" t="str">
        <f>StatGen!A29</f>
        <v>FW.44</v>
      </c>
      <c r="B287">
        <f>StatGen!B29</f>
        <v>0</v>
      </c>
      <c r="C287">
        <f>StatGen!C29</f>
        <v>0</v>
      </c>
    </row>
    <row r="288" spans="1:3" x14ac:dyDescent="0.25">
      <c r="A288" t="str">
        <f>StatGen!A30</f>
        <v>FW.71</v>
      </c>
      <c r="B288">
        <f>StatGen!B30</f>
        <v>0</v>
      </c>
      <c r="C288">
        <f>StatGen!C30</f>
        <v>0</v>
      </c>
    </row>
    <row r="289" spans="1:3" x14ac:dyDescent="0.25">
      <c r="A289" t="str">
        <f>StatGen!A31</f>
        <v>FW.112</v>
      </c>
      <c r="B289">
        <f>StatGen!B31</f>
        <v>0</v>
      </c>
      <c r="C289">
        <f>StatGen!C31</f>
        <v>0</v>
      </c>
    </row>
    <row r="290" spans="1:3" x14ac:dyDescent="0.25">
      <c r="A290" t="str">
        <f>StatGen!A32</f>
        <v>FW.531</v>
      </c>
      <c r="B290">
        <f>StatGen!B32</f>
        <v>0</v>
      </c>
      <c r="C290">
        <f>StatGen!C32</f>
        <v>0</v>
      </c>
    </row>
    <row r="291" spans="1:3" x14ac:dyDescent="0.25">
      <c r="A291" t="str">
        <f>StatGen!A33</f>
        <v>FW.80</v>
      </c>
      <c r="B291">
        <f>StatGen!B33</f>
        <v>0</v>
      </c>
      <c r="C291">
        <f>StatGen!C33</f>
        <v>0</v>
      </c>
    </row>
    <row r="292" spans="1:3" x14ac:dyDescent="0.25">
      <c r="A292" t="str">
        <f>StatGen!A34</f>
        <v>FW.79</v>
      </c>
      <c r="B292">
        <f>StatGen!B34</f>
        <v>0</v>
      </c>
      <c r="C292">
        <f>StatGen!C34</f>
        <v>0</v>
      </c>
    </row>
    <row r="293" spans="1:3" x14ac:dyDescent="0.25">
      <c r="A293" t="str">
        <f>StatGen!A35</f>
        <v>FW.78</v>
      </c>
      <c r="B293">
        <f>StatGen!B35</f>
        <v>0</v>
      </c>
      <c r="C293">
        <f>StatGen!C35</f>
        <v>0</v>
      </c>
    </row>
    <row r="294" spans="1:3" x14ac:dyDescent="0.25">
      <c r="A294" t="str">
        <f>StatGen!A36</f>
        <v>FW.72</v>
      </c>
      <c r="B294">
        <f>StatGen!B36</f>
        <v>0</v>
      </c>
      <c r="C294">
        <f>StatGen!C36</f>
        <v>0</v>
      </c>
    </row>
    <row r="295" spans="1:3" x14ac:dyDescent="0.25">
      <c r="A295" t="str">
        <f>StatGen!A37</f>
        <v>FW.77</v>
      </c>
      <c r="B295">
        <f>StatGen!B37</f>
        <v>0</v>
      </c>
      <c r="C295">
        <f>StatGen!C37</f>
        <v>0</v>
      </c>
    </row>
    <row r="296" spans="1:3" x14ac:dyDescent="0.25">
      <c r="A296" t="str">
        <f>StatGen!A38</f>
        <v>FW.609</v>
      </c>
      <c r="B296">
        <f>StatGen!B38</f>
        <v>0</v>
      </c>
      <c r="C296">
        <f>StatGen!C38</f>
        <v>0</v>
      </c>
    </row>
    <row r="297" spans="1:3" x14ac:dyDescent="0.25">
      <c r="A297" t="str">
        <f>StatGen!A39</f>
        <v>FW.771</v>
      </c>
      <c r="B297">
        <f>StatGen!B39</f>
        <v>0</v>
      </c>
      <c r="C297">
        <f>StatGen!C39</f>
        <v>0</v>
      </c>
    </row>
    <row r="298" spans="1:3" x14ac:dyDescent="0.25">
      <c r="A298" t="str">
        <f>StatGen!A40</f>
        <v>FW.772</v>
      </c>
      <c r="B298">
        <f>StatGen!B40</f>
        <v>0</v>
      </c>
      <c r="C298">
        <f>StatGen!C40</f>
        <v>0</v>
      </c>
    </row>
    <row r="299" spans="1:3" x14ac:dyDescent="0.25">
      <c r="A299" t="str">
        <f>StatGen!A41</f>
        <v>FW.552</v>
      </c>
      <c r="B299">
        <f>StatGen!B41</f>
        <v>0</v>
      </c>
      <c r="C299">
        <f>StatGen!C41</f>
        <v>0</v>
      </c>
    </row>
    <row r="300" spans="1:3" x14ac:dyDescent="0.25">
      <c r="A300" t="str">
        <f>StatGen!A42</f>
        <v>FW.76</v>
      </c>
      <c r="B300">
        <f>StatGen!B42</f>
        <v>0</v>
      </c>
      <c r="C300">
        <f>StatGen!C42</f>
        <v>0</v>
      </c>
    </row>
    <row r="301" spans="1:3" x14ac:dyDescent="0.25">
      <c r="A301" t="str">
        <f>StatGen!A43</f>
        <v>FW.110</v>
      </c>
      <c r="B301">
        <f>StatGen!B43</f>
        <v>0</v>
      </c>
      <c r="C301">
        <f>StatGen!C43</f>
        <v>0</v>
      </c>
    </row>
    <row r="302" spans="1:3" x14ac:dyDescent="0.25">
      <c r="A302" t="str">
        <f>StatGen!A44</f>
        <v>FW.99</v>
      </c>
      <c r="B302">
        <f>StatGen!B44</f>
        <v>0</v>
      </c>
      <c r="C302">
        <f>StatGen!C44</f>
        <v>0</v>
      </c>
    </row>
    <row r="303" spans="1:3" x14ac:dyDescent="0.25">
      <c r="A303" t="str">
        <f>StatGen!A45</f>
        <v>FW.104</v>
      </c>
      <c r="B303">
        <f>StatGen!B45</f>
        <v>0</v>
      </c>
      <c r="C303">
        <f>StatGen!C45</f>
        <v>0</v>
      </c>
    </row>
    <row r="304" spans="1:3" x14ac:dyDescent="0.25">
      <c r="A304" t="str">
        <f>StatGen!A46</f>
        <v>FW.108</v>
      </c>
      <c r="B304">
        <f>StatGen!B46</f>
        <v>0</v>
      </c>
      <c r="C304">
        <f>StatGen!C46</f>
        <v>0</v>
      </c>
    </row>
    <row r="305" spans="1:3" x14ac:dyDescent="0.25">
      <c r="A305" t="str">
        <f>StatGen!A47</f>
        <v>FW.9001</v>
      </c>
      <c r="B305">
        <f>StatGen!B47</f>
        <v>0</v>
      </c>
      <c r="C305">
        <f>StatGen!C47</f>
        <v>0</v>
      </c>
    </row>
    <row r="306" spans="1:3" x14ac:dyDescent="0.25">
      <c r="A306" t="str">
        <f>StatGen!A48</f>
        <v>FW.35</v>
      </c>
      <c r="B306">
        <f>StatGen!B48</f>
        <v>0</v>
      </c>
      <c r="C306">
        <f>StatGen!C48</f>
        <v>0</v>
      </c>
    </row>
    <row r="307" spans="1:3" x14ac:dyDescent="0.25">
      <c r="A307" t="str">
        <f>StatGen!A49</f>
        <v>FW.36</v>
      </c>
      <c r="B307">
        <f>StatGen!B49</f>
        <v>0</v>
      </c>
      <c r="C307">
        <f>StatGen!C49</f>
        <v>0</v>
      </c>
    </row>
    <row r="308" spans="1:3" x14ac:dyDescent="0.25">
      <c r="A308" t="str">
        <f>StatGen!A50</f>
        <v>FW.45</v>
      </c>
      <c r="B308">
        <f>StatGen!B50</f>
        <v>0</v>
      </c>
      <c r="C308">
        <f>StatGen!C50</f>
        <v>0</v>
      </c>
    </row>
    <row r="309" spans="1:3" x14ac:dyDescent="0.25">
      <c r="A309" t="str">
        <f>StatGen!A51</f>
        <v>FW.88</v>
      </c>
      <c r="B309">
        <f>StatGen!B51</f>
        <v>0</v>
      </c>
      <c r="C309">
        <f>StatGen!C51</f>
        <v>0</v>
      </c>
    </row>
    <row r="310" spans="1:3" x14ac:dyDescent="0.25">
      <c r="A310" t="str">
        <f>StatGen!A52</f>
        <v>FW.81</v>
      </c>
      <c r="B310">
        <f>StatGen!B52</f>
        <v>0</v>
      </c>
      <c r="C310">
        <f>StatGen!C52</f>
        <v>0</v>
      </c>
    </row>
    <row r="311" spans="1:3" x14ac:dyDescent="0.25">
      <c r="A311" t="str">
        <f>StatGen!A53</f>
        <v>FW.4</v>
      </c>
      <c r="B311">
        <f>StatGen!B53</f>
        <v>0</v>
      </c>
      <c r="C311">
        <f>StatGen!C53</f>
        <v>0</v>
      </c>
    </row>
    <row r="312" spans="1:3" x14ac:dyDescent="0.25">
      <c r="A312" t="str">
        <f>StatGen!A54</f>
        <v>FW.18</v>
      </c>
      <c r="B312">
        <f>StatGen!B54</f>
        <v>0</v>
      </c>
      <c r="C312">
        <f>StatGen!C54</f>
        <v>0</v>
      </c>
    </row>
    <row r="313" spans="1:3" x14ac:dyDescent="0.25">
      <c r="A313" t="str">
        <f>StatGen!A55</f>
        <v>FW.16</v>
      </c>
      <c r="B313">
        <f>StatGen!B55</f>
        <v>0</v>
      </c>
      <c r="C313">
        <f>StatGen!C55</f>
        <v>0</v>
      </c>
    </row>
    <row r="314" spans="1:3" x14ac:dyDescent="0.25">
      <c r="A314" t="str">
        <f>StatGen!A56</f>
        <v>FW.89</v>
      </c>
      <c r="B314">
        <f>StatGen!B56</f>
        <v>0</v>
      </c>
      <c r="C314">
        <f>StatGen!C56</f>
        <v>0</v>
      </c>
    </row>
    <row r="315" spans="1:3" x14ac:dyDescent="0.25">
      <c r="A315" t="str">
        <f>StatGen!A57</f>
        <v>FW.15</v>
      </c>
      <c r="B315">
        <f>StatGen!B57</f>
        <v>0</v>
      </c>
      <c r="C315">
        <f>StatGen!C57</f>
        <v>0</v>
      </c>
    </row>
    <row r="316" spans="1:3" x14ac:dyDescent="0.25">
      <c r="A316" t="str">
        <f>StatGen!A58</f>
        <v>FW.17</v>
      </c>
      <c r="B316">
        <f>StatGen!B58</f>
        <v>0</v>
      </c>
      <c r="C316">
        <f>StatGen!C58</f>
        <v>0</v>
      </c>
    </row>
    <row r="317" spans="1:3" x14ac:dyDescent="0.25">
      <c r="A317" t="str">
        <f>StatGen!A59</f>
        <v>FW.97</v>
      </c>
      <c r="B317">
        <f>StatGen!B59</f>
        <v>0</v>
      </c>
      <c r="C317">
        <f>StatGen!C59</f>
        <v>0</v>
      </c>
    </row>
    <row r="318" spans="1:3" x14ac:dyDescent="0.25">
      <c r="A318" t="str">
        <f>StatGen!A60</f>
        <v>FW.34</v>
      </c>
      <c r="B318">
        <f>StatGen!B60</f>
        <v>0</v>
      </c>
      <c r="C318">
        <f>StatGen!C60</f>
        <v>0</v>
      </c>
    </row>
    <row r="319" spans="1:3" x14ac:dyDescent="0.25">
      <c r="A319" t="str">
        <f>StatGen!A61</f>
        <v>FW.86</v>
      </c>
      <c r="B319">
        <f>StatGen!B61</f>
        <v>0</v>
      </c>
      <c r="C319">
        <f>StatGen!C61</f>
        <v>0</v>
      </c>
    </row>
    <row r="320" spans="1:3" x14ac:dyDescent="0.25">
      <c r="A320" t="str">
        <f>StatGen!A62</f>
        <v>FW.41</v>
      </c>
      <c r="B320">
        <f>StatGen!B62</f>
        <v>0</v>
      </c>
      <c r="C320">
        <f>StatGen!C62</f>
        <v>0</v>
      </c>
    </row>
    <row r="321" spans="1:3" x14ac:dyDescent="0.25">
      <c r="A321" t="str">
        <f>StatGen!A63</f>
        <v>FW.38</v>
      </c>
      <c r="B321">
        <f>StatGen!B63</f>
        <v>0</v>
      </c>
      <c r="C321">
        <f>StatGen!C63</f>
        <v>0</v>
      </c>
    </row>
    <row r="322" spans="1:3" x14ac:dyDescent="0.25">
      <c r="A322" t="str">
        <f>StatGen!A64</f>
        <v>FW.98</v>
      </c>
      <c r="B322">
        <f>StatGen!B64</f>
        <v>0</v>
      </c>
      <c r="C322">
        <f>StatGen!C64</f>
        <v>0</v>
      </c>
    </row>
    <row r="323" spans="1:3" x14ac:dyDescent="0.25">
      <c r="A323" t="str">
        <f>StatGen!A65</f>
        <v>FW.103</v>
      </c>
      <c r="B323">
        <f>StatGen!B65</f>
        <v>0</v>
      </c>
      <c r="C323">
        <f>StatGen!C65</f>
        <v>0</v>
      </c>
    </row>
    <row r="324" spans="1:3" x14ac:dyDescent="0.25">
      <c r="A324" t="str">
        <f>StatGen!A66</f>
        <v>FW.53</v>
      </c>
      <c r="B324">
        <f>StatGen!B66</f>
        <v>0</v>
      </c>
      <c r="C324">
        <f>StatGen!C66</f>
        <v>0</v>
      </c>
    </row>
    <row r="325" spans="1:3" x14ac:dyDescent="0.25">
      <c r="A325" t="str">
        <f>StatGen!A67</f>
        <v>FW.33</v>
      </c>
      <c r="B325">
        <f>StatGen!B67</f>
        <v>0</v>
      </c>
      <c r="C325">
        <f>StatGen!C67</f>
        <v>0</v>
      </c>
    </row>
    <row r="326" spans="1:3" x14ac:dyDescent="0.25">
      <c r="A326" t="str">
        <f>StatGen!A68</f>
        <v>FW.43</v>
      </c>
      <c r="B326">
        <f>StatGen!B68</f>
        <v>0</v>
      </c>
      <c r="C326">
        <f>StatGen!C68</f>
        <v>0</v>
      </c>
    </row>
    <row r="327" spans="1:3" x14ac:dyDescent="0.25">
      <c r="A327" t="str">
        <f>StatGen!A69</f>
        <v>FW.107</v>
      </c>
      <c r="B327">
        <f>StatGen!B69</f>
        <v>0</v>
      </c>
      <c r="C327">
        <f>StatGen!C69</f>
        <v>0</v>
      </c>
    </row>
    <row r="328" spans="1:3" x14ac:dyDescent="0.25">
      <c r="A328" t="str">
        <f>StatGen!A70</f>
        <v>FW.105</v>
      </c>
      <c r="B328">
        <f>StatGen!B70</f>
        <v>0</v>
      </c>
      <c r="C328">
        <f>StatGen!C70</f>
        <v>0</v>
      </c>
    </row>
    <row r="329" spans="1:3" x14ac:dyDescent="0.25">
      <c r="A329" t="str">
        <f>StatGen!A71</f>
        <v>FW.48</v>
      </c>
      <c r="B329">
        <f>StatGen!B71</f>
        <v>0</v>
      </c>
      <c r="C329">
        <f>StatGen!C71</f>
        <v>0</v>
      </c>
    </row>
    <row r="330" spans="1:3" x14ac:dyDescent="0.25">
      <c r="A330" t="str">
        <f>StatGen!A72</f>
        <v>FW.92</v>
      </c>
      <c r="B330">
        <f>StatGen!B72</f>
        <v>0</v>
      </c>
      <c r="C330">
        <f>StatGen!C72</f>
        <v>0</v>
      </c>
    </row>
    <row r="331" spans="1:3" x14ac:dyDescent="0.25">
      <c r="A331" t="str">
        <f>StatGen!A73</f>
        <v>FW.90</v>
      </c>
      <c r="B331">
        <f>StatGen!B73</f>
        <v>0</v>
      </c>
      <c r="C331">
        <f>StatGen!C73</f>
        <v>0</v>
      </c>
    </row>
    <row r="332" spans="1:3" x14ac:dyDescent="0.25">
      <c r="A332" t="str">
        <f>StatGen!A74</f>
        <v>FW.37</v>
      </c>
      <c r="B332">
        <f>StatGen!B74</f>
        <v>0</v>
      </c>
      <c r="C332">
        <f>StatGen!C74</f>
        <v>0</v>
      </c>
    </row>
    <row r="333" spans="1:3" x14ac:dyDescent="0.25">
      <c r="A333" t="str">
        <f>StatGen!A75</f>
        <v>FW.371</v>
      </c>
      <c r="B333">
        <f>StatGen!B75</f>
        <v>0</v>
      </c>
      <c r="C333">
        <f>StatGen!C75</f>
        <v>0</v>
      </c>
    </row>
    <row r="334" spans="1:3" x14ac:dyDescent="0.25">
      <c r="A334" t="str">
        <f>StatGen!A76</f>
        <v>FW.372</v>
      </c>
      <c r="B334">
        <f>StatGen!B76</f>
        <v>0</v>
      </c>
      <c r="C334">
        <f>StatGen!C76</f>
        <v>0</v>
      </c>
    </row>
    <row r="335" spans="1:3" x14ac:dyDescent="0.25">
      <c r="A335" t="str">
        <f>StatGen!A77</f>
        <v>FW.201</v>
      </c>
      <c r="B335">
        <f>StatGen!B77</f>
        <v>0</v>
      </c>
      <c r="C335">
        <f>StatGen!C77</f>
        <v>0</v>
      </c>
    </row>
    <row r="336" spans="1:3" x14ac:dyDescent="0.25">
      <c r="A336" t="str">
        <f>StatGen!A78</f>
        <v>FW.63</v>
      </c>
      <c r="B336">
        <f>StatGen!B78</f>
        <v>0</v>
      </c>
      <c r="C336">
        <f>StatGen!C78</f>
        <v>0</v>
      </c>
    </row>
    <row r="337" spans="1:3" x14ac:dyDescent="0.25">
      <c r="A337" t="str">
        <f>StatGen!A79</f>
        <v>FW.526</v>
      </c>
      <c r="B337">
        <f>StatGen!B79</f>
        <v>0</v>
      </c>
      <c r="C337">
        <f>StatGen!C79</f>
        <v>0</v>
      </c>
    </row>
    <row r="338" spans="1:3" x14ac:dyDescent="0.25">
      <c r="A338" t="str">
        <f>StatGen!A80</f>
        <v>FW.57</v>
      </c>
      <c r="B338">
        <f>StatGen!B80</f>
        <v>0</v>
      </c>
      <c r="C338">
        <f>StatGen!C80</f>
        <v>0</v>
      </c>
    </row>
    <row r="339" spans="1:3" x14ac:dyDescent="0.25">
      <c r="A339" t="str">
        <f>StatGen!A81</f>
        <v>FW.55</v>
      </c>
      <c r="B339">
        <f>StatGen!B81</f>
        <v>0</v>
      </c>
      <c r="C339">
        <f>StatGen!C81</f>
        <v>0</v>
      </c>
    </row>
    <row r="340" spans="1:3" x14ac:dyDescent="0.25">
      <c r="A340" t="str">
        <f>StatGen!A82</f>
        <v>FW.60</v>
      </c>
      <c r="B340">
        <f>StatGen!B82</f>
        <v>0</v>
      </c>
      <c r="C340">
        <f>StatGen!C82</f>
        <v>0</v>
      </c>
    </row>
    <row r="341" spans="1:3" x14ac:dyDescent="0.25">
      <c r="A341" t="str">
        <f>StatGen!A83</f>
        <v>FW.87</v>
      </c>
      <c r="B341">
        <f>StatGen!B83</f>
        <v>0</v>
      </c>
      <c r="C341">
        <f>StatGen!C83</f>
        <v>0</v>
      </c>
    </row>
    <row r="342" spans="1:3" x14ac:dyDescent="0.25">
      <c r="A342" t="str">
        <f>StatGen!A84</f>
        <v>FW.94</v>
      </c>
      <c r="B342">
        <f>StatGen!B84</f>
        <v>0</v>
      </c>
      <c r="C342">
        <f>StatGen!C84</f>
        <v>0</v>
      </c>
    </row>
    <row r="343" spans="1:3" x14ac:dyDescent="0.25">
      <c r="A343" t="str">
        <f>StatGen!A85</f>
        <v>FW.52</v>
      </c>
      <c r="B343">
        <f>StatGen!B85</f>
        <v>0</v>
      </c>
      <c r="C343">
        <f>StatGen!C85</f>
        <v>0</v>
      </c>
    </row>
    <row r="344" spans="1:3" x14ac:dyDescent="0.25">
      <c r="A344" t="str">
        <f>StatGen!A86</f>
        <v>FW.58</v>
      </c>
      <c r="B344">
        <f>StatGen!B86</f>
        <v>0</v>
      </c>
      <c r="C344">
        <f>StatGen!C86</f>
        <v>0</v>
      </c>
    </row>
    <row r="345" spans="1:3" x14ac:dyDescent="0.25">
      <c r="A345" t="str">
        <f>StatGen!A87</f>
        <v>FW.61</v>
      </c>
      <c r="B345">
        <f>StatGen!B87</f>
        <v>0</v>
      </c>
      <c r="C345">
        <f>StatGen!C87</f>
        <v>0</v>
      </c>
    </row>
    <row r="346" spans="1:3" x14ac:dyDescent="0.25">
      <c r="A346" t="str">
        <f>StatGen!A88</f>
        <v>FW.62</v>
      </c>
      <c r="B346">
        <f>StatGen!B88</f>
        <v>0</v>
      </c>
      <c r="C346">
        <f>StatGen!C88</f>
        <v>0</v>
      </c>
    </row>
    <row r="347" spans="1:3" x14ac:dyDescent="0.25">
      <c r="A347" t="str">
        <f>StatGen!A89</f>
        <v>FW.51</v>
      </c>
      <c r="B347">
        <f>StatGen!B89</f>
        <v>0</v>
      </c>
      <c r="C347">
        <f>StatGen!C89</f>
        <v>0</v>
      </c>
    </row>
    <row r="348" spans="1:3" x14ac:dyDescent="0.25">
      <c r="A348" t="str">
        <f>StatGen!A90</f>
        <v>FW.49</v>
      </c>
      <c r="B348">
        <f>StatGen!B90</f>
        <v>0</v>
      </c>
      <c r="C348">
        <f>StatGen!C90</f>
        <v>0</v>
      </c>
    </row>
    <row r="349" spans="1:3" x14ac:dyDescent="0.25">
      <c r="A349" t="str">
        <f>StatGen!A91</f>
        <v>FW.54</v>
      </c>
      <c r="B349">
        <f>StatGen!B91</f>
        <v>0</v>
      </c>
      <c r="C349">
        <f>StatGen!C91</f>
        <v>0</v>
      </c>
    </row>
    <row r="350" spans="1:3" x14ac:dyDescent="0.25">
      <c r="A350" t="str">
        <f>StatGen!A92</f>
        <v>FW.323</v>
      </c>
      <c r="B350">
        <f>StatGen!B92</f>
        <v>0</v>
      </c>
      <c r="C350">
        <f>StatGen!C92</f>
        <v>0</v>
      </c>
    </row>
    <row r="351" spans="1:3" x14ac:dyDescent="0.25">
      <c r="A351" t="str">
        <f>StatGen!A93</f>
        <v>FW.100</v>
      </c>
      <c r="B351">
        <f>StatGen!B93</f>
        <v>0</v>
      </c>
      <c r="C351">
        <f>StatGen!C93</f>
        <v>0</v>
      </c>
    </row>
    <row r="352" spans="1:3" x14ac:dyDescent="0.25">
      <c r="A352" t="str">
        <f>StatGen!A94</f>
        <v>FW.39</v>
      </c>
      <c r="B352">
        <f>StatGen!B94</f>
        <v>0</v>
      </c>
      <c r="C352">
        <f>StatGen!C94</f>
        <v>0</v>
      </c>
    </row>
    <row r="353" spans="1:3" x14ac:dyDescent="0.25">
      <c r="A353" t="str">
        <f>StatGen!A95</f>
        <v>FW.7039</v>
      </c>
      <c r="B353">
        <f>StatGen!B95</f>
        <v>0</v>
      </c>
      <c r="C353">
        <f>StatGen!C95</f>
        <v>0</v>
      </c>
    </row>
    <row r="354" spans="1:3" x14ac:dyDescent="0.25">
      <c r="A354" t="str">
        <f>StatGen!A96</f>
        <v>FW.91</v>
      </c>
      <c r="B354">
        <f>StatGen!B96</f>
        <v>0</v>
      </c>
      <c r="C354">
        <f>StatGen!C96</f>
        <v>0</v>
      </c>
    </row>
    <row r="355" spans="1:3" x14ac:dyDescent="0.25">
      <c r="A355" t="str">
        <f>StatGen!A97</f>
        <v>FW.1</v>
      </c>
      <c r="B355">
        <f>StatGen!B97</f>
        <v>0</v>
      </c>
      <c r="C355">
        <f>StatGen!C97</f>
        <v>0</v>
      </c>
    </row>
    <row r="356" spans="1:3" x14ac:dyDescent="0.25">
      <c r="A356" t="str">
        <f>StatGen!A98</f>
        <v>FW.73</v>
      </c>
      <c r="B356">
        <f>StatGen!B98</f>
        <v>0</v>
      </c>
      <c r="C356">
        <f>StatGen!C98</f>
        <v>0</v>
      </c>
    </row>
    <row r="357" spans="1:3" x14ac:dyDescent="0.25">
      <c r="A357" t="str">
        <f>StatGen!A99</f>
        <v>FW.84</v>
      </c>
      <c r="B357">
        <f>StatGen!B99</f>
        <v>0</v>
      </c>
      <c r="C357">
        <f>StatGen!C99</f>
        <v>0</v>
      </c>
    </row>
    <row r="358" spans="1:3" x14ac:dyDescent="0.25">
      <c r="A358" t="str">
        <f>StatGen!A100</f>
        <v>FW.528</v>
      </c>
      <c r="B358">
        <f>StatGen!B100</f>
        <v>0</v>
      </c>
      <c r="C358">
        <f>StatGen!C100</f>
        <v>0</v>
      </c>
    </row>
    <row r="359" spans="1:3" x14ac:dyDescent="0.25">
      <c r="A359" t="str">
        <f>StatGen!A101</f>
        <v>FW.40</v>
      </c>
      <c r="B359">
        <f>StatGen!B101</f>
        <v>0</v>
      </c>
      <c r="C359">
        <f>StatGen!C101</f>
        <v>0</v>
      </c>
    </row>
    <row r="360" spans="1:3" x14ac:dyDescent="0.25">
      <c r="A360" t="str">
        <f>StatGen!A102</f>
        <v>FW.144</v>
      </c>
      <c r="B360">
        <f>StatGen!B102</f>
        <v>0</v>
      </c>
      <c r="C360">
        <f>StatGen!C102</f>
        <v>0</v>
      </c>
    </row>
    <row r="361" spans="1:3" x14ac:dyDescent="0.25">
      <c r="A361" t="str">
        <f>StatGen!A103</f>
        <v>FW.59</v>
      </c>
      <c r="B361">
        <f>StatGen!B103</f>
        <v>0</v>
      </c>
      <c r="C361">
        <f>StatGen!C103</f>
        <v>0</v>
      </c>
    </row>
    <row r="362" spans="1:3" x14ac:dyDescent="0.25">
      <c r="A362" t="str">
        <f>StatGen!A104</f>
        <v>FW.42</v>
      </c>
      <c r="B362">
        <f>StatGen!B104</f>
        <v>0</v>
      </c>
      <c r="C362">
        <f>StatGen!C104</f>
        <v>0</v>
      </c>
    </row>
    <row r="363" spans="1:3" x14ac:dyDescent="0.25">
      <c r="A363" t="str">
        <f>StatGen!A105</f>
        <v>FW.69</v>
      </c>
      <c r="B363">
        <f>StatGen!B105</f>
        <v>0</v>
      </c>
      <c r="C363">
        <f>StatGen!C105</f>
        <v>0</v>
      </c>
    </row>
    <row r="364" spans="1:3" x14ac:dyDescent="0.25">
      <c r="A364" t="str">
        <f>StatGen!A106</f>
        <v>FW.102</v>
      </c>
      <c r="B364">
        <f>StatGen!B106</f>
        <v>0</v>
      </c>
      <c r="C364">
        <f>StatGen!C106</f>
        <v>0</v>
      </c>
    </row>
    <row r="365" spans="1:3" x14ac:dyDescent="0.25">
      <c r="A365" t="str">
        <f>StatGen!A107</f>
        <v>FW.3</v>
      </c>
      <c r="B365">
        <f>StatGen!B107</f>
        <v>0</v>
      </c>
      <c r="C365">
        <f>StatGen!C107</f>
        <v>0</v>
      </c>
    </row>
    <row r="366" spans="1:3" x14ac:dyDescent="0.25">
      <c r="A366" t="str">
        <f>StatGen!A108</f>
        <v>FW.46</v>
      </c>
      <c r="B366">
        <f>StatGen!B108</f>
        <v>0</v>
      </c>
      <c r="C366">
        <f>StatGen!C108</f>
        <v>0</v>
      </c>
    </row>
    <row r="367" spans="1:3" x14ac:dyDescent="0.25">
      <c r="A367" t="str">
        <f>StatGen!A109</f>
        <v>ES104</v>
      </c>
      <c r="B367">
        <f>StatGen!B109</f>
        <v>0</v>
      </c>
      <c r="C367">
        <f>StatGen!C109</f>
        <v>0</v>
      </c>
    </row>
    <row r="368" spans="1:3" x14ac:dyDescent="0.25">
      <c r="A368" t="str">
        <f>StatGen!A110</f>
        <v>ES105</v>
      </c>
      <c r="B368">
        <f>StatGen!B110</f>
        <v>0</v>
      </c>
      <c r="C368">
        <f>StatGen!C110</f>
        <v>0</v>
      </c>
    </row>
    <row r="369" spans="1:3" x14ac:dyDescent="0.25">
      <c r="A369" t="str">
        <f>StatGen!A111</f>
        <v>ES11</v>
      </c>
      <c r="B369">
        <f>StatGen!B111</f>
        <v>89.443676320085473</v>
      </c>
      <c r="C369">
        <f>StatGen!C111</f>
        <v>0</v>
      </c>
    </row>
    <row r="370" spans="1:3" x14ac:dyDescent="0.25">
      <c r="A370" t="str">
        <f>StatGen!A112</f>
        <v>ES113</v>
      </c>
      <c r="B370">
        <f>StatGen!B112</f>
        <v>0</v>
      </c>
      <c r="C370">
        <f>StatGen!C112</f>
        <v>0</v>
      </c>
    </row>
    <row r="371" spans="1:3" x14ac:dyDescent="0.25">
      <c r="A371" t="str">
        <f>StatGen!A113</f>
        <v>ES17</v>
      </c>
      <c r="B371">
        <f>StatGen!B113</f>
        <v>0</v>
      </c>
      <c r="C371">
        <f>StatGen!C113</f>
        <v>0</v>
      </c>
    </row>
    <row r="372" spans="1:3" x14ac:dyDescent="0.25">
      <c r="A372" t="str">
        <f>StatGen!A114</f>
        <v>ES23</v>
      </c>
      <c r="B372">
        <f>StatGen!B114</f>
        <v>78.934043739158454</v>
      </c>
      <c r="C372">
        <f>StatGen!C114</f>
        <v>0</v>
      </c>
    </row>
    <row r="373" spans="1:3" x14ac:dyDescent="0.25">
      <c r="A373" t="str">
        <f>StatGen!A116</f>
        <v>ES3</v>
      </c>
      <c r="B373">
        <f>StatGen!B116</f>
        <v>0</v>
      </c>
      <c r="C373">
        <f>StatGen!C116</f>
        <v>0</v>
      </c>
    </row>
    <row r="374" spans="1:3" x14ac:dyDescent="0.25">
      <c r="A374" t="str">
        <f>StatGen!A117</f>
        <v>ES33</v>
      </c>
      <c r="B374">
        <f>StatGen!B117</f>
        <v>0</v>
      </c>
      <c r="C374">
        <f>StatGen!C117</f>
        <v>0</v>
      </c>
    </row>
    <row r="375" spans="1:3" x14ac:dyDescent="0.25">
      <c r="A375" t="str">
        <f>StatGen!A118</f>
        <v>ES36</v>
      </c>
      <c r="B375">
        <f>StatGen!B118</f>
        <v>0</v>
      </c>
      <c r="C375">
        <f>StatGen!C118</f>
        <v>0</v>
      </c>
    </row>
    <row r="376" spans="1:3" x14ac:dyDescent="0.25">
      <c r="A376" t="str">
        <f>StatGen!A119</f>
        <v>ES37</v>
      </c>
      <c r="B376">
        <f>StatGen!B119</f>
        <v>0</v>
      </c>
      <c r="C376">
        <f>StatGen!C119</f>
        <v>0</v>
      </c>
    </row>
    <row r="377" spans="1:3" x14ac:dyDescent="0.25">
      <c r="A377" t="str">
        <f>StatGen!A120</f>
        <v>ES371</v>
      </c>
      <c r="B377">
        <f>StatGen!B120</f>
        <v>0</v>
      </c>
      <c r="C377">
        <f>StatGen!C120</f>
        <v>0</v>
      </c>
    </row>
    <row r="378" spans="1:3" x14ac:dyDescent="0.25">
      <c r="A378" t="str">
        <f>StatGen!A122</f>
        <v>ES42</v>
      </c>
      <c r="B378">
        <f>StatGen!B122</f>
        <v>0</v>
      </c>
      <c r="C378">
        <f>StatGen!C122</f>
        <v>0</v>
      </c>
    </row>
    <row r="379" spans="1:3" x14ac:dyDescent="0.25">
      <c r="A379" t="str">
        <f>StatGen!A123</f>
        <v>ES49</v>
      </c>
      <c r="B379">
        <f>StatGen!B123</f>
        <v>0</v>
      </c>
      <c r="C379">
        <f>StatGen!C123</f>
        <v>0</v>
      </c>
    </row>
    <row r="380" spans="1:3" x14ac:dyDescent="0.25">
      <c r="A380" t="str">
        <f>StatGen!A124</f>
        <v>ES5</v>
      </c>
      <c r="B380">
        <f>StatGen!B124</f>
        <v>0</v>
      </c>
      <c r="C380">
        <f>StatGen!C124</f>
        <v>0</v>
      </c>
    </row>
    <row r="381" spans="1:3" x14ac:dyDescent="0.25">
      <c r="A381" t="str">
        <f>StatGen!A125</f>
        <v>ES54</v>
      </c>
      <c r="B381">
        <f>StatGen!B125</f>
        <v>0</v>
      </c>
      <c r="C381">
        <f>StatGen!C125</f>
        <v>0</v>
      </c>
    </row>
    <row r="382" spans="1:3" x14ac:dyDescent="0.25">
      <c r="A382" t="str">
        <f>StatGen!A126</f>
        <v>ES55</v>
      </c>
      <c r="B382">
        <f>StatGen!B126</f>
        <v>0</v>
      </c>
      <c r="C382">
        <f>StatGen!C126</f>
        <v>0</v>
      </c>
    </row>
    <row r="383" spans="1:3" x14ac:dyDescent="0.25">
      <c r="A383" t="str">
        <f>StatGen!A127</f>
        <v>ES63</v>
      </c>
      <c r="B383">
        <f>StatGen!B127</f>
        <v>0</v>
      </c>
      <c r="C383">
        <f>StatGen!C127</f>
        <v>0</v>
      </c>
    </row>
    <row r="384" spans="1:3" x14ac:dyDescent="0.25">
      <c r="A384" t="str">
        <f>StatGen!A128</f>
        <v>ES69</v>
      </c>
      <c r="B384">
        <f>StatGen!B128</f>
        <v>0</v>
      </c>
      <c r="C384">
        <f>StatGen!C128</f>
        <v>0</v>
      </c>
    </row>
    <row r="385" spans="1:3" x14ac:dyDescent="0.25">
      <c r="A385" t="str">
        <f>StatGen!A129</f>
        <v>ES7</v>
      </c>
      <c r="B385">
        <f>StatGen!B129</f>
        <v>21.339516972121359</v>
      </c>
      <c r="C385">
        <f>StatGen!C129</f>
        <v>0</v>
      </c>
    </row>
    <row r="386" spans="1:3" x14ac:dyDescent="0.25">
      <c r="A386" t="str">
        <f>StatGen!A130</f>
        <v>ES74</v>
      </c>
      <c r="B386">
        <f>StatGen!B130</f>
        <v>-46.56339240544245</v>
      </c>
      <c r="C386">
        <f>StatGen!C130</f>
        <v>0</v>
      </c>
    </row>
    <row r="387" spans="1:3" x14ac:dyDescent="0.25">
      <c r="A387" t="str">
        <f>StatGen!A131</f>
        <v>ES77</v>
      </c>
      <c r="B387">
        <f>StatGen!B131</f>
        <v>4.2418408270470991</v>
      </c>
      <c r="C387">
        <f>StatGen!C131</f>
        <v>0</v>
      </c>
    </row>
    <row r="388" spans="1:3" x14ac:dyDescent="0.25">
      <c r="A388" t="str">
        <f>StatGen!A132</f>
        <v>ES8</v>
      </c>
      <c r="B388">
        <f>StatGen!B132</f>
        <v>0</v>
      </c>
      <c r="C388">
        <f>StatGen!C132</f>
        <v>0</v>
      </c>
    </row>
    <row r="389" spans="1:3" x14ac:dyDescent="0.25">
      <c r="A389" t="str">
        <f>StatGen!A133</f>
        <v>ES84</v>
      </c>
      <c r="B389">
        <f>StatGen!B133</f>
        <v>0</v>
      </c>
      <c r="C389">
        <f>StatGen!C133</f>
        <v>0</v>
      </c>
    </row>
    <row r="390" spans="1:3" x14ac:dyDescent="0.25">
      <c r="A390" t="str">
        <f>StatGen!A134</f>
        <v>ES110</v>
      </c>
      <c r="B390">
        <f>StatGen!B134</f>
        <v>0</v>
      </c>
      <c r="C390">
        <f>StatGen!C134</f>
        <v>0</v>
      </c>
    </row>
    <row r="392" spans="1:3" x14ac:dyDescent="0.25">
      <c r="A392" t="str">
        <f>PV!A2</f>
        <v>PV1</v>
      </c>
      <c r="B392">
        <f>PV!B2</f>
        <v>0</v>
      </c>
      <c r="C392">
        <f>PV!C2</f>
        <v>0</v>
      </c>
    </row>
    <row r="393" spans="1:3" x14ac:dyDescent="0.25">
      <c r="A393" t="str">
        <f>PV!A3</f>
        <v>PV10</v>
      </c>
      <c r="B393">
        <f>PV!B3</f>
        <v>0</v>
      </c>
      <c r="C393">
        <f>PV!C3</f>
        <v>0</v>
      </c>
    </row>
    <row r="394" spans="1:3" x14ac:dyDescent="0.25">
      <c r="A394" t="str">
        <f>PV!A4</f>
        <v>PV100</v>
      </c>
      <c r="B394">
        <f>PV!B4</f>
        <v>0</v>
      </c>
      <c r="C394">
        <f>PV!C4</f>
        <v>0</v>
      </c>
    </row>
    <row r="395" spans="1:3" x14ac:dyDescent="0.25">
      <c r="A395" t="str">
        <f>PV!A5</f>
        <v>PV102</v>
      </c>
      <c r="B395">
        <f>PV!B5</f>
        <v>0</v>
      </c>
      <c r="C395">
        <f>PV!C5</f>
        <v>0</v>
      </c>
    </row>
    <row r="396" spans="1:3" x14ac:dyDescent="0.25">
      <c r="A396" t="str">
        <f>PV!A6</f>
        <v>PV103</v>
      </c>
      <c r="B396">
        <f>PV!B6</f>
        <v>0</v>
      </c>
      <c r="C396">
        <f>PV!C6</f>
        <v>0</v>
      </c>
    </row>
    <row r="397" spans="1:3" x14ac:dyDescent="0.25">
      <c r="A397" t="str">
        <f>PV!A7</f>
        <v>PV104</v>
      </c>
      <c r="B397">
        <f>PV!B7</f>
        <v>0</v>
      </c>
      <c r="C397">
        <f>PV!C7</f>
        <v>0</v>
      </c>
    </row>
    <row r="398" spans="1:3" x14ac:dyDescent="0.25">
      <c r="A398" t="str">
        <f>PV!A8</f>
        <v>PV105</v>
      </c>
      <c r="B398">
        <f>PV!B8</f>
        <v>0</v>
      </c>
      <c r="C398">
        <f>PV!C8</f>
        <v>0</v>
      </c>
    </row>
    <row r="399" spans="1:3" x14ac:dyDescent="0.25">
      <c r="A399" t="str">
        <f>PV!A9</f>
        <v>PV107</v>
      </c>
      <c r="B399">
        <f>PV!B9</f>
        <v>0</v>
      </c>
      <c r="C399">
        <f>PV!C9</f>
        <v>0</v>
      </c>
    </row>
    <row r="400" spans="1:3" x14ac:dyDescent="0.25">
      <c r="A400" t="str">
        <f>PV!A10</f>
        <v>PV108</v>
      </c>
      <c r="B400">
        <f>PV!B10</f>
        <v>0</v>
      </c>
      <c r="C400">
        <f>PV!C10</f>
        <v>0</v>
      </c>
    </row>
    <row r="401" spans="1:3" x14ac:dyDescent="0.25">
      <c r="A401" t="str">
        <f>PV!A11</f>
        <v>PV109</v>
      </c>
      <c r="B401">
        <f>PV!B11</f>
        <v>0</v>
      </c>
      <c r="C401">
        <f>PV!C11</f>
        <v>0</v>
      </c>
    </row>
    <row r="402" spans="1:3" x14ac:dyDescent="0.25">
      <c r="A402" t="str">
        <f>PV!A12</f>
        <v>PV11</v>
      </c>
      <c r="B402">
        <f>PV!B12</f>
        <v>0</v>
      </c>
      <c r="C402">
        <f>PV!C12</f>
        <v>0</v>
      </c>
    </row>
    <row r="403" spans="1:3" x14ac:dyDescent="0.25">
      <c r="A403" t="str">
        <f>PV!A13</f>
        <v>PV110</v>
      </c>
      <c r="B403">
        <f>PV!B13</f>
        <v>0</v>
      </c>
      <c r="C403">
        <f>PV!C13</f>
        <v>0</v>
      </c>
    </row>
    <row r="404" spans="1:3" x14ac:dyDescent="0.25">
      <c r="A404" t="str">
        <f>PV!A14</f>
        <v>PV112</v>
      </c>
      <c r="B404">
        <f>PV!B14</f>
        <v>0</v>
      </c>
      <c r="C404">
        <f>PV!C14</f>
        <v>0</v>
      </c>
    </row>
    <row r="405" spans="1:3" x14ac:dyDescent="0.25">
      <c r="A405" t="str">
        <f>PV!A15</f>
        <v>PV113</v>
      </c>
      <c r="B405">
        <f>PV!B15</f>
        <v>0</v>
      </c>
      <c r="C405">
        <f>PV!C15</f>
        <v>0</v>
      </c>
    </row>
    <row r="406" spans="1:3" x14ac:dyDescent="0.25">
      <c r="A406" t="str">
        <f>PV!A16</f>
        <v>PV114</v>
      </c>
      <c r="B406">
        <f>PV!B16</f>
        <v>0</v>
      </c>
      <c r="C406">
        <f>PV!C16</f>
        <v>0</v>
      </c>
    </row>
    <row r="407" spans="1:3" x14ac:dyDescent="0.25">
      <c r="A407" t="str">
        <f>PV!A17</f>
        <v>PV13</v>
      </c>
      <c r="B407">
        <f>PV!B17</f>
        <v>0</v>
      </c>
      <c r="C407">
        <f>PV!C17</f>
        <v>0</v>
      </c>
    </row>
    <row r="408" spans="1:3" x14ac:dyDescent="0.25">
      <c r="A408" t="str">
        <f>PV!A18</f>
        <v>PV14</v>
      </c>
      <c r="B408">
        <f>PV!B18</f>
        <v>0</v>
      </c>
      <c r="C408">
        <f>PV!C18</f>
        <v>0</v>
      </c>
    </row>
    <row r="409" spans="1:3" x14ac:dyDescent="0.25">
      <c r="A409" t="str">
        <f>PV!A19</f>
        <v>PV144</v>
      </c>
      <c r="B409">
        <f>PV!B19</f>
        <v>0</v>
      </c>
      <c r="C409">
        <f>PV!C19</f>
        <v>0</v>
      </c>
    </row>
    <row r="410" spans="1:3" x14ac:dyDescent="0.25">
      <c r="A410" t="str">
        <f>PV!A20</f>
        <v>PV15</v>
      </c>
      <c r="B410">
        <f>PV!B20</f>
        <v>0</v>
      </c>
      <c r="C410">
        <f>PV!C20</f>
        <v>0</v>
      </c>
    </row>
    <row r="411" spans="1:3" x14ac:dyDescent="0.25">
      <c r="A411" t="str">
        <f>PV!A21</f>
        <v>PV16</v>
      </c>
      <c r="B411">
        <f>PV!B21</f>
        <v>0</v>
      </c>
      <c r="C411">
        <f>PV!C21</f>
        <v>0</v>
      </c>
    </row>
    <row r="412" spans="1:3" x14ac:dyDescent="0.25">
      <c r="A412" t="str">
        <f>PV!A22</f>
        <v>PV17</v>
      </c>
      <c r="B412">
        <f>PV!B22</f>
        <v>0</v>
      </c>
      <c r="C412">
        <f>PV!C22</f>
        <v>0</v>
      </c>
    </row>
    <row r="413" spans="1:3" x14ac:dyDescent="0.25">
      <c r="A413" t="str">
        <f>PV!A23</f>
        <v>PV18</v>
      </c>
      <c r="B413">
        <f>PV!B23</f>
        <v>0</v>
      </c>
      <c r="C413">
        <f>PV!C23</f>
        <v>0</v>
      </c>
    </row>
    <row r="414" spans="1:3" x14ac:dyDescent="0.25">
      <c r="A414" t="str">
        <f>PV!A24</f>
        <v>PV19</v>
      </c>
      <c r="B414">
        <f>PV!B24</f>
        <v>0</v>
      </c>
      <c r="C414">
        <f>PV!C24</f>
        <v>0</v>
      </c>
    </row>
    <row r="415" spans="1:3" x14ac:dyDescent="0.25">
      <c r="A415" t="str">
        <f>PV!A25</f>
        <v>PV2</v>
      </c>
      <c r="B415">
        <f>PV!B25</f>
        <v>0</v>
      </c>
      <c r="C415">
        <f>PV!C25</f>
        <v>0</v>
      </c>
    </row>
    <row r="416" spans="1:3" x14ac:dyDescent="0.25">
      <c r="A416" t="str">
        <f>PV!A26</f>
        <v>PV20</v>
      </c>
      <c r="B416">
        <f>PV!B26</f>
        <v>0</v>
      </c>
      <c r="C416">
        <f>PV!C26</f>
        <v>0</v>
      </c>
    </row>
    <row r="417" spans="1:3" x14ac:dyDescent="0.25">
      <c r="A417" t="str">
        <f>PV!A27</f>
        <v>PV201</v>
      </c>
      <c r="B417">
        <f>PV!B27</f>
        <v>0</v>
      </c>
      <c r="C417">
        <f>PV!C27</f>
        <v>0</v>
      </c>
    </row>
    <row r="418" spans="1:3" x14ac:dyDescent="0.25">
      <c r="A418" t="str">
        <f>PV!A28</f>
        <v>PV207</v>
      </c>
      <c r="B418">
        <f>PV!B28</f>
        <v>0</v>
      </c>
      <c r="C418">
        <f>PV!C28</f>
        <v>0</v>
      </c>
    </row>
    <row r="419" spans="1:3" x14ac:dyDescent="0.25">
      <c r="A419" t="str">
        <f>PV!A29</f>
        <v>PV21</v>
      </c>
      <c r="B419">
        <f>PV!B29</f>
        <v>0</v>
      </c>
      <c r="C419">
        <f>PV!C29</f>
        <v>0</v>
      </c>
    </row>
    <row r="420" spans="1:3" x14ac:dyDescent="0.25">
      <c r="A420" t="str">
        <f>PV!A30</f>
        <v>PV22</v>
      </c>
      <c r="B420">
        <f>PV!B30</f>
        <v>0</v>
      </c>
      <c r="C420">
        <f>PV!C30</f>
        <v>0</v>
      </c>
    </row>
    <row r="421" spans="1:3" x14ac:dyDescent="0.25">
      <c r="A421" t="str">
        <f>PV!A31</f>
        <v>PV23</v>
      </c>
      <c r="B421">
        <f>PV!B31</f>
        <v>0</v>
      </c>
      <c r="C421">
        <f>PV!C31</f>
        <v>0</v>
      </c>
    </row>
    <row r="422" spans="1:3" x14ac:dyDescent="0.25">
      <c r="A422" t="str">
        <f>PV!A32</f>
        <v>PV24</v>
      </c>
      <c r="B422">
        <f>PV!B32</f>
        <v>0</v>
      </c>
      <c r="C422">
        <f>PV!C32</f>
        <v>0</v>
      </c>
    </row>
    <row r="423" spans="1:3" x14ac:dyDescent="0.25">
      <c r="A423" t="str">
        <f>PV!A33</f>
        <v>PV25</v>
      </c>
      <c r="B423">
        <f>PV!B33</f>
        <v>0</v>
      </c>
      <c r="C423">
        <f>PV!C33</f>
        <v>0</v>
      </c>
    </row>
    <row r="424" spans="1:3" x14ac:dyDescent="0.25">
      <c r="A424" t="str">
        <f>PV!A34</f>
        <v>PV26</v>
      </c>
      <c r="B424">
        <f>PV!B34</f>
        <v>0</v>
      </c>
      <c r="C424">
        <f>PV!C34</f>
        <v>0</v>
      </c>
    </row>
    <row r="425" spans="1:3" x14ac:dyDescent="0.25">
      <c r="A425" t="str">
        <f>PV!A35</f>
        <v>PV27</v>
      </c>
      <c r="B425">
        <f>PV!B35</f>
        <v>0</v>
      </c>
      <c r="C425">
        <f>PV!C35</f>
        <v>0</v>
      </c>
    </row>
    <row r="426" spans="1:3" x14ac:dyDescent="0.25">
      <c r="A426" t="str">
        <f>PV!A36</f>
        <v>PV3</v>
      </c>
      <c r="B426">
        <f>PV!B36</f>
        <v>0</v>
      </c>
      <c r="C426">
        <f>PV!C36</f>
        <v>0</v>
      </c>
    </row>
    <row r="427" spans="1:3" x14ac:dyDescent="0.25">
      <c r="A427" t="str">
        <f>PV!A37</f>
        <v>PV319</v>
      </c>
      <c r="B427">
        <f>PV!B37</f>
        <v>0</v>
      </c>
      <c r="C427">
        <f>PV!C37</f>
        <v>0</v>
      </c>
    </row>
    <row r="428" spans="1:3" x14ac:dyDescent="0.25">
      <c r="A428" t="str">
        <f>PV!A38</f>
        <v>PV320</v>
      </c>
      <c r="B428">
        <f>PV!B38</f>
        <v>0</v>
      </c>
      <c r="C428">
        <f>PV!C38</f>
        <v>0</v>
      </c>
    </row>
    <row r="429" spans="1:3" x14ac:dyDescent="0.25">
      <c r="A429" t="str">
        <f>PV!A39</f>
        <v>PV323</v>
      </c>
      <c r="B429">
        <f>PV!B39</f>
        <v>0</v>
      </c>
      <c r="C429">
        <f>PV!C39</f>
        <v>0</v>
      </c>
    </row>
    <row r="430" spans="1:3" x14ac:dyDescent="0.25">
      <c r="A430" t="str">
        <f>PV!A40</f>
        <v>PV33</v>
      </c>
      <c r="B430">
        <f>PV!B40</f>
        <v>0</v>
      </c>
      <c r="C430">
        <f>PV!C40</f>
        <v>0</v>
      </c>
    </row>
    <row r="431" spans="1:3" x14ac:dyDescent="0.25">
      <c r="A431" t="str">
        <f>PV!A41</f>
        <v>PV34</v>
      </c>
      <c r="B431">
        <f>PV!B41</f>
        <v>0</v>
      </c>
      <c r="C431">
        <f>PV!C41</f>
        <v>0</v>
      </c>
    </row>
    <row r="432" spans="1:3" x14ac:dyDescent="0.25">
      <c r="A432" t="str">
        <f>PV!A42</f>
        <v>PV35</v>
      </c>
      <c r="B432">
        <f>PV!B42</f>
        <v>0</v>
      </c>
      <c r="C432">
        <f>PV!C42</f>
        <v>0</v>
      </c>
    </row>
    <row r="433" spans="1:3" x14ac:dyDescent="0.25">
      <c r="A433" t="str">
        <f>PV!A43</f>
        <v>PV36</v>
      </c>
      <c r="B433">
        <f>PV!B43</f>
        <v>0</v>
      </c>
      <c r="C433">
        <f>PV!C43</f>
        <v>0</v>
      </c>
    </row>
    <row r="434" spans="1:3" x14ac:dyDescent="0.25">
      <c r="A434" t="str">
        <f>PV!A44</f>
        <v>PV37</v>
      </c>
      <c r="B434">
        <f>PV!B44</f>
        <v>0</v>
      </c>
      <c r="C434">
        <f>PV!C44</f>
        <v>0</v>
      </c>
    </row>
    <row r="435" spans="1:3" x14ac:dyDescent="0.25">
      <c r="A435" t="str">
        <f>PV!A45</f>
        <v>PV371</v>
      </c>
      <c r="B435">
        <f>PV!B45</f>
        <v>0</v>
      </c>
      <c r="C435">
        <f>PV!C45</f>
        <v>0</v>
      </c>
    </row>
    <row r="436" spans="1:3" x14ac:dyDescent="0.25">
      <c r="A436" t="str">
        <f>PV!A46</f>
        <v>PV372</v>
      </c>
      <c r="B436">
        <f>PV!B46</f>
        <v>0</v>
      </c>
      <c r="C436">
        <f>PV!C46</f>
        <v>0</v>
      </c>
    </row>
    <row r="437" spans="1:3" x14ac:dyDescent="0.25">
      <c r="A437" t="str">
        <f>PV!A47</f>
        <v>PV38</v>
      </c>
      <c r="B437">
        <f>PV!B47</f>
        <v>0</v>
      </c>
      <c r="C437">
        <f>PV!C47</f>
        <v>0</v>
      </c>
    </row>
    <row r="438" spans="1:3" x14ac:dyDescent="0.25">
      <c r="A438" t="str">
        <f>PV!A48</f>
        <v>PV39</v>
      </c>
      <c r="B438">
        <f>PV!B48</f>
        <v>0</v>
      </c>
      <c r="C438">
        <f>PV!C48</f>
        <v>0</v>
      </c>
    </row>
    <row r="439" spans="1:3" x14ac:dyDescent="0.25">
      <c r="A439" t="str">
        <f>PV!A49</f>
        <v>PV4</v>
      </c>
      <c r="B439">
        <f>PV!B49</f>
        <v>0</v>
      </c>
      <c r="C439">
        <f>PV!C49</f>
        <v>0</v>
      </c>
    </row>
    <row r="440" spans="1:3" x14ac:dyDescent="0.25">
      <c r="A440" t="str">
        <f>PV!A50</f>
        <v>PV40</v>
      </c>
      <c r="B440">
        <f>PV!B50</f>
        <v>0</v>
      </c>
      <c r="C440">
        <f>PV!C50</f>
        <v>0</v>
      </c>
    </row>
    <row r="441" spans="1:3" x14ac:dyDescent="0.25">
      <c r="A441" t="str">
        <f>PV!A51</f>
        <v>PV41</v>
      </c>
      <c r="B441">
        <f>PV!B51</f>
        <v>0</v>
      </c>
      <c r="C441">
        <f>PV!C51</f>
        <v>0</v>
      </c>
    </row>
    <row r="442" spans="1:3" x14ac:dyDescent="0.25">
      <c r="A442" t="str">
        <f>PV!A52</f>
        <v>PV42</v>
      </c>
      <c r="B442">
        <f>PV!B52</f>
        <v>0</v>
      </c>
      <c r="C442">
        <f>PV!C52</f>
        <v>0</v>
      </c>
    </row>
    <row r="443" spans="1:3" x14ac:dyDescent="0.25">
      <c r="A443" t="str">
        <f>PV!A53</f>
        <v>PV43</v>
      </c>
      <c r="B443">
        <f>PV!B53</f>
        <v>0</v>
      </c>
      <c r="C443">
        <f>PV!C53</f>
        <v>0</v>
      </c>
    </row>
    <row r="444" spans="1:3" x14ac:dyDescent="0.25">
      <c r="A444" t="str">
        <f>PV!A54</f>
        <v>PV44</v>
      </c>
      <c r="B444">
        <f>PV!B54</f>
        <v>0</v>
      </c>
      <c r="C444">
        <f>PV!C54</f>
        <v>0</v>
      </c>
    </row>
    <row r="445" spans="1:3" x14ac:dyDescent="0.25">
      <c r="A445" t="str">
        <f>PV!A55</f>
        <v>PV45</v>
      </c>
      <c r="B445">
        <f>PV!B55</f>
        <v>0</v>
      </c>
      <c r="C445">
        <f>PV!C55</f>
        <v>0</v>
      </c>
    </row>
    <row r="446" spans="1:3" x14ac:dyDescent="0.25">
      <c r="A446" t="str">
        <f>PV!A56</f>
        <v>PV46</v>
      </c>
      <c r="B446">
        <f>PV!B56</f>
        <v>0</v>
      </c>
      <c r="C446">
        <f>PV!C56</f>
        <v>0</v>
      </c>
    </row>
    <row r="447" spans="1:3" x14ac:dyDescent="0.25">
      <c r="A447" t="str">
        <f>PV!A57</f>
        <v>PV47</v>
      </c>
      <c r="B447">
        <f>PV!B57</f>
        <v>0</v>
      </c>
      <c r="C447">
        <f>PV!C57</f>
        <v>0</v>
      </c>
    </row>
    <row r="448" spans="1:3" x14ac:dyDescent="0.25">
      <c r="A448" t="str">
        <f>PV!A58</f>
        <v>PV48</v>
      </c>
      <c r="B448">
        <f>PV!B58</f>
        <v>0</v>
      </c>
      <c r="C448">
        <f>PV!C58</f>
        <v>0</v>
      </c>
    </row>
    <row r="449" spans="1:3" x14ac:dyDescent="0.25">
      <c r="A449" t="str">
        <f>PV!A59</f>
        <v>PV49</v>
      </c>
      <c r="B449">
        <f>PV!B59</f>
        <v>0</v>
      </c>
      <c r="C449">
        <f>PV!C59</f>
        <v>0</v>
      </c>
    </row>
    <row r="450" spans="1:3" x14ac:dyDescent="0.25">
      <c r="A450" t="str">
        <f>PV!A60</f>
        <v>PV5</v>
      </c>
      <c r="B450">
        <f>PV!B60</f>
        <v>0</v>
      </c>
      <c r="C450">
        <f>PV!C60</f>
        <v>0</v>
      </c>
    </row>
    <row r="451" spans="1:3" x14ac:dyDescent="0.25">
      <c r="A451" t="str">
        <f>PV!A61</f>
        <v>PV51</v>
      </c>
      <c r="B451">
        <f>PV!B61</f>
        <v>0</v>
      </c>
      <c r="C451">
        <f>PV!C61</f>
        <v>0</v>
      </c>
    </row>
    <row r="452" spans="1:3" x14ac:dyDescent="0.25">
      <c r="A452" t="str">
        <f>PV!A62</f>
        <v>PV52</v>
      </c>
      <c r="B452">
        <f>PV!B62</f>
        <v>0</v>
      </c>
      <c r="C452">
        <f>PV!C62</f>
        <v>0</v>
      </c>
    </row>
    <row r="453" spans="1:3" x14ac:dyDescent="0.25">
      <c r="A453" t="str">
        <f>PV!A63</f>
        <v>PV526</v>
      </c>
      <c r="B453">
        <f>PV!B63</f>
        <v>0</v>
      </c>
      <c r="C453">
        <f>PV!C63</f>
        <v>0</v>
      </c>
    </row>
    <row r="454" spans="1:3" x14ac:dyDescent="0.25">
      <c r="A454" t="str">
        <f>PV!A64</f>
        <v>PV528</v>
      </c>
      <c r="B454">
        <f>PV!B64</f>
        <v>0</v>
      </c>
      <c r="C454">
        <f>PV!C64</f>
        <v>0</v>
      </c>
    </row>
    <row r="455" spans="1:3" x14ac:dyDescent="0.25">
      <c r="A455" t="str">
        <f>PV!A65</f>
        <v>PV53</v>
      </c>
      <c r="B455">
        <f>PV!B65</f>
        <v>0</v>
      </c>
      <c r="C455">
        <f>PV!C65</f>
        <v>0</v>
      </c>
    </row>
    <row r="456" spans="1:3" x14ac:dyDescent="0.25">
      <c r="A456" t="str">
        <f>PV!A66</f>
        <v>PV531</v>
      </c>
      <c r="B456">
        <f>PV!B66</f>
        <v>0</v>
      </c>
      <c r="C456">
        <f>PV!C66</f>
        <v>0</v>
      </c>
    </row>
    <row r="457" spans="1:3" x14ac:dyDescent="0.25">
      <c r="A457" t="str">
        <f>PV!A67</f>
        <v>PV54</v>
      </c>
      <c r="B457">
        <f>PV!B67</f>
        <v>0</v>
      </c>
      <c r="C457">
        <f>PV!C67</f>
        <v>0</v>
      </c>
    </row>
    <row r="458" spans="1:3" x14ac:dyDescent="0.25">
      <c r="A458" t="str">
        <f>PV!A68</f>
        <v>PV55</v>
      </c>
      <c r="B458">
        <f>PV!B68</f>
        <v>0</v>
      </c>
      <c r="C458">
        <f>PV!C68</f>
        <v>0</v>
      </c>
    </row>
    <row r="459" spans="1:3" x14ac:dyDescent="0.25">
      <c r="A459" t="str">
        <f>PV!A69</f>
        <v>PV552</v>
      </c>
      <c r="B459">
        <f>PV!B69</f>
        <v>0</v>
      </c>
      <c r="C459">
        <f>PV!C69</f>
        <v>0</v>
      </c>
    </row>
    <row r="460" spans="1:3" x14ac:dyDescent="0.25">
      <c r="A460" t="str">
        <f>PV!A70</f>
        <v>PV57</v>
      </c>
      <c r="B460">
        <f>PV!B70</f>
        <v>0</v>
      </c>
      <c r="C460">
        <f>PV!C70</f>
        <v>0</v>
      </c>
    </row>
    <row r="461" spans="1:3" x14ac:dyDescent="0.25">
      <c r="A461" t="str">
        <f>PV!A71</f>
        <v>PV58</v>
      </c>
      <c r="B461">
        <f>PV!B71</f>
        <v>0</v>
      </c>
      <c r="C461">
        <f>PV!C71</f>
        <v>0</v>
      </c>
    </row>
    <row r="462" spans="1:3" x14ac:dyDescent="0.25">
      <c r="A462" t="str">
        <f>PV!A72</f>
        <v>PV59</v>
      </c>
      <c r="B462">
        <f>PV!B72</f>
        <v>0</v>
      </c>
      <c r="C462">
        <f>PV!C72</f>
        <v>0</v>
      </c>
    </row>
    <row r="463" spans="1:3" x14ac:dyDescent="0.25">
      <c r="A463" t="str">
        <f>PV!A73</f>
        <v>PV6</v>
      </c>
      <c r="B463">
        <f>PV!B73</f>
        <v>0</v>
      </c>
      <c r="C463">
        <f>PV!C73</f>
        <v>0</v>
      </c>
    </row>
    <row r="464" spans="1:3" x14ac:dyDescent="0.25">
      <c r="A464" t="str">
        <f>PV!A74</f>
        <v>PV60</v>
      </c>
      <c r="B464">
        <f>PV!B74</f>
        <v>0</v>
      </c>
      <c r="C464">
        <f>PV!C74</f>
        <v>0</v>
      </c>
    </row>
    <row r="465" spans="1:3" x14ac:dyDescent="0.25">
      <c r="A465" t="str">
        <f>PV!A75</f>
        <v>PV609</v>
      </c>
      <c r="B465">
        <f>PV!B75</f>
        <v>0</v>
      </c>
      <c r="C465">
        <f>PV!C75</f>
        <v>0</v>
      </c>
    </row>
    <row r="466" spans="1:3" x14ac:dyDescent="0.25">
      <c r="A466" t="str">
        <f>PV!A76</f>
        <v>PV61</v>
      </c>
      <c r="B466">
        <f>PV!B76</f>
        <v>0</v>
      </c>
      <c r="C466">
        <f>PV!C76</f>
        <v>0</v>
      </c>
    </row>
    <row r="467" spans="1:3" x14ac:dyDescent="0.25">
      <c r="A467" t="str">
        <f>PV!A77</f>
        <v>PV62</v>
      </c>
      <c r="B467">
        <f>PV!B77</f>
        <v>0</v>
      </c>
      <c r="C467">
        <f>PV!C77</f>
        <v>0</v>
      </c>
    </row>
    <row r="468" spans="1:3" x14ac:dyDescent="0.25">
      <c r="A468" t="str">
        <f>PV!A78</f>
        <v>PV63</v>
      </c>
      <c r="B468">
        <f>PV!B78</f>
        <v>0</v>
      </c>
      <c r="C468">
        <f>PV!C78</f>
        <v>0</v>
      </c>
    </row>
    <row r="469" spans="1:3" x14ac:dyDescent="0.25">
      <c r="A469" t="str">
        <f>PV!A79</f>
        <v>PV69</v>
      </c>
      <c r="B469">
        <f>PV!B79</f>
        <v>0</v>
      </c>
      <c r="C469">
        <f>PV!C79</f>
        <v>0</v>
      </c>
    </row>
    <row r="470" spans="1:3" x14ac:dyDescent="0.25">
      <c r="A470" t="str">
        <f>PV!A80</f>
        <v>PV7</v>
      </c>
      <c r="B470">
        <f>PV!B80</f>
        <v>0</v>
      </c>
      <c r="C470">
        <f>PV!C80</f>
        <v>0</v>
      </c>
    </row>
    <row r="471" spans="1:3" x14ac:dyDescent="0.25">
      <c r="A471" t="str">
        <f>PV!A81</f>
        <v>PV70</v>
      </c>
      <c r="B471">
        <f>PV!B81</f>
        <v>0</v>
      </c>
      <c r="C471">
        <f>PV!C81</f>
        <v>0</v>
      </c>
    </row>
    <row r="472" spans="1:3" x14ac:dyDescent="0.25">
      <c r="A472" t="str">
        <f>PV!A82</f>
        <v>PV7039</v>
      </c>
      <c r="B472">
        <f>PV!B82</f>
        <v>0</v>
      </c>
      <c r="C472">
        <f>PV!C82</f>
        <v>0</v>
      </c>
    </row>
    <row r="473" spans="1:3" x14ac:dyDescent="0.25">
      <c r="A473" t="str">
        <f>PV!A83</f>
        <v>PV71</v>
      </c>
      <c r="B473">
        <f>PV!B83</f>
        <v>0</v>
      </c>
      <c r="C473">
        <f>PV!C83</f>
        <v>0</v>
      </c>
    </row>
    <row r="474" spans="1:3" x14ac:dyDescent="0.25">
      <c r="A474" t="str">
        <f>PV!A84</f>
        <v>PV72</v>
      </c>
      <c r="B474">
        <f>PV!B84</f>
        <v>0</v>
      </c>
      <c r="C474">
        <f>PV!C84</f>
        <v>0</v>
      </c>
    </row>
    <row r="475" spans="1:3" x14ac:dyDescent="0.25">
      <c r="A475" t="str">
        <f>PV!A85</f>
        <v>PV73</v>
      </c>
      <c r="B475">
        <f>PV!B85</f>
        <v>0</v>
      </c>
      <c r="C475">
        <f>PV!C85</f>
        <v>0</v>
      </c>
    </row>
    <row r="476" spans="1:3" x14ac:dyDescent="0.25">
      <c r="A476" t="str">
        <f>PV!A86</f>
        <v>PV76</v>
      </c>
      <c r="B476">
        <f>PV!B86</f>
        <v>0</v>
      </c>
      <c r="C476">
        <f>PV!C86</f>
        <v>0</v>
      </c>
    </row>
    <row r="477" spans="1:3" x14ac:dyDescent="0.25">
      <c r="A477" t="str">
        <f>PV!A87</f>
        <v>PV77</v>
      </c>
      <c r="B477">
        <f>PV!B87</f>
        <v>0</v>
      </c>
      <c r="C477">
        <f>PV!C87</f>
        <v>0</v>
      </c>
    </row>
    <row r="478" spans="1:3" x14ac:dyDescent="0.25">
      <c r="A478" t="str">
        <f>PV!A88</f>
        <v>PV771</v>
      </c>
      <c r="B478">
        <f>PV!B88</f>
        <v>0</v>
      </c>
      <c r="C478">
        <f>PV!C88</f>
        <v>0</v>
      </c>
    </row>
    <row r="479" spans="1:3" x14ac:dyDescent="0.25">
      <c r="A479" t="str">
        <f>PV!A89</f>
        <v>PV772</v>
      </c>
      <c r="B479">
        <f>PV!B89</f>
        <v>0</v>
      </c>
      <c r="C479">
        <f>PV!C89</f>
        <v>0</v>
      </c>
    </row>
    <row r="480" spans="1:3" x14ac:dyDescent="0.25">
      <c r="A480" t="str">
        <f>PV!A90</f>
        <v>PV78</v>
      </c>
      <c r="B480">
        <f>PV!B90</f>
        <v>0</v>
      </c>
      <c r="C480">
        <f>PV!C90</f>
        <v>0</v>
      </c>
    </row>
    <row r="481" spans="1:3" x14ac:dyDescent="0.25">
      <c r="A481" t="str">
        <f>PV!A91</f>
        <v>PV79</v>
      </c>
      <c r="B481">
        <f>PV!B91</f>
        <v>0</v>
      </c>
      <c r="C481">
        <f>PV!C91</f>
        <v>0</v>
      </c>
    </row>
    <row r="482" spans="1:3" x14ac:dyDescent="0.25">
      <c r="A482" t="str">
        <f>PV!A92</f>
        <v>PV8</v>
      </c>
      <c r="B482">
        <f>PV!B92</f>
        <v>0</v>
      </c>
      <c r="C482">
        <f>PV!C92</f>
        <v>0</v>
      </c>
    </row>
    <row r="483" spans="1:3" x14ac:dyDescent="0.25">
      <c r="A483" t="str">
        <f>PV!A93</f>
        <v>PV80</v>
      </c>
      <c r="B483">
        <f>PV!B93</f>
        <v>0</v>
      </c>
      <c r="C483">
        <f>PV!C93</f>
        <v>0</v>
      </c>
    </row>
    <row r="484" spans="1:3" x14ac:dyDescent="0.25">
      <c r="A484" t="str">
        <f>PV!A94</f>
        <v>PV81</v>
      </c>
      <c r="B484">
        <f>PV!B94</f>
        <v>0</v>
      </c>
      <c r="C484">
        <f>PV!C94</f>
        <v>0</v>
      </c>
    </row>
    <row r="485" spans="1:3" x14ac:dyDescent="0.25">
      <c r="A485" t="str">
        <f>PV!A95</f>
        <v>PV84</v>
      </c>
      <c r="B485">
        <f>PV!B95</f>
        <v>0</v>
      </c>
      <c r="C485">
        <f>PV!C95</f>
        <v>0</v>
      </c>
    </row>
    <row r="486" spans="1:3" x14ac:dyDescent="0.25">
      <c r="A486" t="str">
        <f>PV!A96</f>
        <v>PV86</v>
      </c>
      <c r="B486">
        <f>PV!B96</f>
        <v>0</v>
      </c>
      <c r="C486">
        <f>PV!C96</f>
        <v>0</v>
      </c>
    </row>
    <row r="487" spans="1:3" x14ac:dyDescent="0.25">
      <c r="A487" t="str">
        <f>PV!A97</f>
        <v>PV87</v>
      </c>
      <c r="B487">
        <f>PV!B97</f>
        <v>0</v>
      </c>
      <c r="C487">
        <f>PV!C97</f>
        <v>0</v>
      </c>
    </row>
    <row r="488" spans="1:3" x14ac:dyDescent="0.25">
      <c r="A488" t="str">
        <f>PV!A98</f>
        <v>PV88</v>
      </c>
      <c r="B488">
        <f>PV!B98</f>
        <v>0</v>
      </c>
      <c r="C488">
        <f>PV!C98</f>
        <v>0</v>
      </c>
    </row>
    <row r="489" spans="1:3" x14ac:dyDescent="0.25">
      <c r="A489" t="str">
        <f>PV!A99</f>
        <v>PV89</v>
      </c>
      <c r="B489">
        <f>PV!B99</f>
        <v>0</v>
      </c>
      <c r="C489">
        <f>PV!C99</f>
        <v>0</v>
      </c>
    </row>
    <row r="490" spans="1:3" x14ac:dyDescent="0.25">
      <c r="A490" t="str">
        <f>PV!A100</f>
        <v>PV9</v>
      </c>
      <c r="B490">
        <f>PV!B100</f>
        <v>0</v>
      </c>
      <c r="C490">
        <f>PV!C100</f>
        <v>0</v>
      </c>
    </row>
    <row r="491" spans="1:3" x14ac:dyDescent="0.25">
      <c r="A491" t="str">
        <f>PV!A101</f>
        <v>PV90</v>
      </c>
      <c r="B491">
        <f>PV!B101</f>
        <v>0</v>
      </c>
      <c r="C491">
        <f>PV!C101</f>
        <v>0</v>
      </c>
    </row>
    <row r="492" spans="1:3" x14ac:dyDescent="0.25">
      <c r="A492" t="str">
        <f>PV!A102</f>
        <v>PV9001</v>
      </c>
      <c r="B492">
        <f>PV!B102</f>
        <v>0</v>
      </c>
      <c r="C492">
        <f>PV!C102</f>
        <v>0</v>
      </c>
    </row>
    <row r="493" spans="1:3" x14ac:dyDescent="0.25">
      <c r="A493" t="str">
        <f>PV!A103</f>
        <v>PV91</v>
      </c>
      <c r="B493">
        <f>PV!B103</f>
        <v>0</v>
      </c>
      <c r="C493">
        <f>PV!C103</f>
        <v>0</v>
      </c>
    </row>
    <row r="494" spans="1:3" x14ac:dyDescent="0.25">
      <c r="A494" t="str">
        <f>PV!A104</f>
        <v>PV92</v>
      </c>
      <c r="B494">
        <f>PV!B104</f>
        <v>0</v>
      </c>
      <c r="C494">
        <f>PV!C104</f>
        <v>0</v>
      </c>
    </row>
    <row r="495" spans="1:3" x14ac:dyDescent="0.25">
      <c r="A495" t="str">
        <f>PV!A105</f>
        <v>PV94</v>
      </c>
      <c r="B495">
        <f>PV!B105</f>
        <v>0</v>
      </c>
      <c r="C495">
        <f>PV!C105</f>
        <v>0</v>
      </c>
    </row>
    <row r="496" spans="1:3" x14ac:dyDescent="0.25">
      <c r="A496" t="str">
        <f>PV!A106</f>
        <v>PV97</v>
      </c>
      <c r="B496">
        <f>PV!B106</f>
        <v>0</v>
      </c>
      <c r="C496">
        <f>PV!C106</f>
        <v>0</v>
      </c>
    </row>
    <row r="497" spans="1:3" x14ac:dyDescent="0.25">
      <c r="A497" t="str">
        <f>PV!A107</f>
        <v>PV98</v>
      </c>
      <c r="B497">
        <f>PV!B107</f>
        <v>0</v>
      </c>
      <c r="C497">
        <f>PV!C107</f>
        <v>0</v>
      </c>
    </row>
    <row r="498" spans="1:3" x14ac:dyDescent="0.25">
      <c r="A498" t="str">
        <f>PV!A108</f>
        <v>PV99</v>
      </c>
      <c r="B498">
        <f>PV!B108</f>
        <v>0</v>
      </c>
      <c r="C498">
        <f>PV!C108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FD78-EF96-47FF-8E3F-9D1B87DA32AF}">
  <sheetPr codeName="Arkusz10"/>
  <dimension ref="A1:B65"/>
  <sheetViews>
    <sheetView workbookViewId="0">
      <selection activeCell="A28" sqref="A1:A28"/>
    </sheetView>
  </sheetViews>
  <sheetFormatPr defaultRowHeight="15" x14ac:dyDescent="0.25"/>
  <sheetData>
    <row r="1" spans="1:2" x14ac:dyDescent="0.25">
      <c r="A1" t="s">
        <v>195</v>
      </c>
      <c r="B1" t="s">
        <v>691</v>
      </c>
    </row>
    <row r="2" spans="1:2" x14ac:dyDescent="0.25">
      <c r="A2" t="s">
        <v>196</v>
      </c>
      <c r="B2" t="s">
        <v>691</v>
      </c>
    </row>
    <row r="3" spans="1:2" x14ac:dyDescent="0.25">
      <c r="A3" t="s">
        <v>198</v>
      </c>
      <c r="B3" t="s">
        <v>691</v>
      </c>
    </row>
    <row r="4" spans="1:2" x14ac:dyDescent="0.25">
      <c r="A4" t="s">
        <v>199</v>
      </c>
      <c r="B4" t="s">
        <v>691</v>
      </c>
    </row>
    <row r="5" spans="1:2" x14ac:dyDescent="0.25">
      <c r="A5" t="s">
        <v>216</v>
      </c>
      <c r="B5" t="s">
        <v>691</v>
      </c>
    </row>
    <row r="6" spans="1:2" x14ac:dyDescent="0.25">
      <c r="A6" t="s">
        <v>225</v>
      </c>
      <c r="B6" t="s">
        <v>691</v>
      </c>
    </row>
    <row r="7" spans="1:2" x14ac:dyDescent="0.25">
      <c r="A7" t="s">
        <v>226</v>
      </c>
      <c r="B7" t="s">
        <v>691</v>
      </c>
    </row>
    <row r="8" spans="1:2" x14ac:dyDescent="0.25">
      <c r="A8" t="s">
        <v>232</v>
      </c>
      <c r="B8" t="s">
        <v>691</v>
      </c>
    </row>
    <row r="9" spans="1:2" x14ac:dyDescent="0.25">
      <c r="A9" t="s">
        <v>237</v>
      </c>
      <c r="B9" t="s">
        <v>691</v>
      </c>
    </row>
    <row r="10" spans="1:2" x14ac:dyDescent="0.25">
      <c r="A10" t="s">
        <v>241</v>
      </c>
      <c r="B10" t="s">
        <v>691</v>
      </c>
    </row>
    <row r="11" spans="1:2" x14ac:dyDescent="0.25">
      <c r="A11" t="s">
        <v>242</v>
      </c>
      <c r="B11" t="s">
        <v>691</v>
      </c>
    </row>
    <row r="12" spans="1:2" x14ac:dyDescent="0.25">
      <c r="A12" t="s">
        <v>243</v>
      </c>
      <c r="B12" t="s">
        <v>691</v>
      </c>
    </row>
    <row r="13" spans="1:2" x14ac:dyDescent="0.25">
      <c r="A13" t="s">
        <v>244</v>
      </c>
      <c r="B13" t="s">
        <v>691</v>
      </c>
    </row>
    <row r="14" spans="1:2" x14ac:dyDescent="0.25">
      <c r="A14" t="s">
        <v>245</v>
      </c>
      <c r="B14" t="s">
        <v>691</v>
      </c>
    </row>
    <row r="15" spans="1:2" x14ac:dyDescent="0.25">
      <c r="A15" t="s">
        <v>246</v>
      </c>
      <c r="B15" t="s">
        <v>691</v>
      </c>
    </row>
    <row r="16" spans="1:2" x14ac:dyDescent="0.25">
      <c r="A16" t="s">
        <v>247</v>
      </c>
      <c r="B16" t="s">
        <v>691</v>
      </c>
    </row>
    <row r="17" spans="1:2" x14ac:dyDescent="0.25">
      <c r="A17" t="s">
        <v>248</v>
      </c>
      <c r="B17" t="s">
        <v>691</v>
      </c>
    </row>
    <row r="18" spans="1:2" x14ac:dyDescent="0.25">
      <c r="A18" t="s">
        <v>249</v>
      </c>
      <c r="B18" t="s">
        <v>691</v>
      </c>
    </row>
    <row r="19" spans="1:2" x14ac:dyDescent="0.25">
      <c r="A19" t="s">
        <v>250</v>
      </c>
      <c r="B19" t="s">
        <v>691</v>
      </c>
    </row>
    <row r="20" spans="1:2" x14ac:dyDescent="0.25">
      <c r="A20" t="s">
        <v>251</v>
      </c>
      <c r="B20" t="s">
        <v>691</v>
      </c>
    </row>
    <row r="21" spans="1:2" x14ac:dyDescent="0.25">
      <c r="A21" t="s">
        <v>252</v>
      </c>
      <c r="B21" t="s">
        <v>691</v>
      </c>
    </row>
    <row r="22" spans="1:2" x14ac:dyDescent="0.25">
      <c r="A22" t="s">
        <v>253</v>
      </c>
      <c r="B22" t="s">
        <v>691</v>
      </c>
    </row>
    <row r="23" spans="1:2" x14ac:dyDescent="0.25">
      <c r="A23" t="s">
        <v>254</v>
      </c>
      <c r="B23" t="s">
        <v>691</v>
      </c>
    </row>
    <row r="24" spans="1:2" x14ac:dyDescent="0.25">
      <c r="A24" t="s">
        <v>255</v>
      </c>
      <c r="B24" t="s">
        <v>691</v>
      </c>
    </row>
    <row r="25" spans="1:2" x14ac:dyDescent="0.25">
      <c r="A25" t="s">
        <v>256</v>
      </c>
      <c r="B25" t="s">
        <v>691</v>
      </c>
    </row>
    <row r="26" spans="1:2" x14ac:dyDescent="0.25">
      <c r="A26" t="s">
        <v>257</v>
      </c>
      <c r="B26" t="s">
        <v>691</v>
      </c>
    </row>
    <row r="27" spans="1:2" x14ac:dyDescent="0.25">
      <c r="A27" t="s">
        <v>258</v>
      </c>
      <c r="B27" t="s">
        <v>691</v>
      </c>
    </row>
    <row r="28" spans="1:2" x14ac:dyDescent="0.25">
      <c r="A28" t="s">
        <v>259</v>
      </c>
      <c r="B28" t="s">
        <v>691</v>
      </c>
    </row>
    <row r="29" spans="1:2" x14ac:dyDescent="0.25">
      <c r="A29" t="s">
        <v>200</v>
      </c>
      <c r="B29" t="s">
        <v>693</v>
      </c>
    </row>
    <row r="30" spans="1:2" x14ac:dyDescent="0.25">
      <c r="A30" t="s">
        <v>201</v>
      </c>
      <c r="B30" t="s">
        <v>693</v>
      </c>
    </row>
    <row r="31" spans="1:2" x14ac:dyDescent="0.25">
      <c r="A31" t="s">
        <v>202</v>
      </c>
      <c r="B31" t="s">
        <v>693</v>
      </c>
    </row>
    <row r="32" spans="1:2" x14ac:dyDescent="0.25">
      <c r="A32" t="s">
        <v>203</v>
      </c>
      <c r="B32" t="s">
        <v>693</v>
      </c>
    </row>
    <row r="33" spans="1:2" x14ac:dyDescent="0.25">
      <c r="A33" t="s">
        <v>204</v>
      </c>
      <c r="B33" t="s">
        <v>693</v>
      </c>
    </row>
    <row r="34" spans="1:2" x14ac:dyDescent="0.25">
      <c r="A34" t="s">
        <v>205</v>
      </c>
      <c r="B34" t="s">
        <v>693</v>
      </c>
    </row>
    <row r="35" spans="1:2" x14ac:dyDescent="0.25">
      <c r="A35" t="s">
        <v>206</v>
      </c>
      <c r="B35" t="s">
        <v>693</v>
      </c>
    </row>
    <row r="36" spans="1:2" x14ac:dyDescent="0.25">
      <c r="A36" t="s">
        <v>207</v>
      </c>
      <c r="B36" t="s">
        <v>693</v>
      </c>
    </row>
    <row r="37" spans="1:2" x14ac:dyDescent="0.25">
      <c r="A37" t="s">
        <v>208</v>
      </c>
      <c r="B37" t="s">
        <v>693</v>
      </c>
    </row>
    <row r="38" spans="1:2" x14ac:dyDescent="0.25">
      <c r="A38" t="s">
        <v>209</v>
      </c>
      <c r="B38" t="s">
        <v>693</v>
      </c>
    </row>
    <row r="39" spans="1:2" x14ac:dyDescent="0.25">
      <c r="A39" t="s">
        <v>210</v>
      </c>
      <c r="B39" t="s">
        <v>693</v>
      </c>
    </row>
    <row r="40" spans="1:2" x14ac:dyDescent="0.25">
      <c r="A40" t="s">
        <v>211</v>
      </c>
      <c r="B40" t="s">
        <v>693</v>
      </c>
    </row>
    <row r="41" spans="1:2" x14ac:dyDescent="0.25">
      <c r="A41" t="s">
        <v>212</v>
      </c>
      <c r="B41" t="s">
        <v>693</v>
      </c>
    </row>
    <row r="42" spans="1:2" x14ac:dyDescent="0.25">
      <c r="A42" t="s">
        <v>213</v>
      </c>
      <c r="B42" t="s">
        <v>693</v>
      </c>
    </row>
    <row r="43" spans="1:2" x14ac:dyDescent="0.25">
      <c r="A43" t="s">
        <v>214</v>
      </c>
      <c r="B43" t="s">
        <v>693</v>
      </c>
    </row>
    <row r="44" spans="1:2" x14ac:dyDescent="0.25">
      <c r="A44" t="s">
        <v>215</v>
      </c>
      <c r="B44" t="s">
        <v>693</v>
      </c>
    </row>
    <row r="45" spans="1:2" x14ac:dyDescent="0.25">
      <c r="A45" t="s">
        <v>217</v>
      </c>
      <c r="B45" t="s">
        <v>693</v>
      </c>
    </row>
    <row r="46" spans="1:2" x14ac:dyDescent="0.25">
      <c r="A46" t="s">
        <v>218</v>
      </c>
      <c r="B46" t="s">
        <v>693</v>
      </c>
    </row>
    <row r="47" spans="1:2" x14ac:dyDescent="0.25">
      <c r="A47" t="s">
        <v>219</v>
      </c>
      <c r="B47" t="s">
        <v>693</v>
      </c>
    </row>
    <row r="48" spans="1:2" x14ac:dyDescent="0.25">
      <c r="A48" t="s">
        <v>220</v>
      </c>
      <c r="B48" t="s">
        <v>693</v>
      </c>
    </row>
    <row r="49" spans="1:2" x14ac:dyDescent="0.25">
      <c r="A49" t="s">
        <v>221</v>
      </c>
      <c r="B49" t="s">
        <v>693</v>
      </c>
    </row>
    <row r="50" spans="1:2" x14ac:dyDescent="0.25">
      <c r="A50" t="s">
        <v>222</v>
      </c>
      <c r="B50" t="s">
        <v>693</v>
      </c>
    </row>
    <row r="51" spans="1:2" x14ac:dyDescent="0.25">
      <c r="A51" t="s">
        <v>197</v>
      </c>
      <c r="B51" t="s">
        <v>692</v>
      </c>
    </row>
    <row r="52" spans="1:2" x14ac:dyDescent="0.25">
      <c r="A52" t="s">
        <v>223</v>
      </c>
      <c r="B52" t="s">
        <v>692</v>
      </c>
    </row>
    <row r="53" spans="1:2" x14ac:dyDescent="0.25">
      <c r="A53" t="s">
        <v>224</v>
      </c>
      <c r="B53" t="s">
        <v>692</v>
      </c>
    </row>
    <row r="54" spans="1:2" x14ac:dyDescent="0.25">
      <c r="A54" t="s">
        <v>227</v>
      </c>
      <c r="B54" t="s">
        <v>692</v>
      </c>
    </row>
    <row r="55" spans="1:2" x14ac:dyDescent="0.25">
      <c r="A55" t="s">
        <v>228</v>
      </c>
      <c r="B55" t="s">
        <v>692</v>
      </c>
    </row>
    <row r="56" spans="1:2" x14ac:dyDescent="0.25">
      <c r="A56" t="s">
        <v>229</v>
      </c>
      <c r="B56" t="s">
        <v>692</v>
      </c>
    </row>
    <row r="57" spans="1:2" x14ac:dyDescent="0.25">
      <c r="A57" t="s">
        <v>230</v>
      </c>
      <c r="B57" t="s">
        <v>692</v>
      </c>
    </row>
    <row r="58" spans="1:2" x14ac:dyDescent="0.25">
      <c r="A58" t="s">
        <v>231</v>
      </c>
      <c r="B58" t="s">
        <v>692</v>
      </c>
    </row>
    <row r="59" spans="1:2" x14ac:dyDescent="0.25">
      <c r="A59" t="s">
        <v>233</v>
      </c>
      <c r="B59" t="s">
        <v>692</v>
      </c>
    </row>
    <row r="60" spans="1:2" x14ac:dyDescent="0.25">
      <c r="A60" t="s">
        <v>234</v>
      </c>
      <c r="B60" t="s">
        <v>692</v>
      </c>
    </row>
    <row r="61" spans="1:2" x14ac:dyDescent="0.25">
      <c r="A61" t="s">
        <v>235</v>
      </c>
      <c r="B61" t="s">
        <v>692</v>
      </c>
    </row>
    <row r="62" spans="1:2" x14ac:dyDescent="0.25">
      <c r="A62" t="s">
        <v>236</v>
      </c>
      <c r="B62" t="s">
        <v>692</v>
      </c>
    </row>
    <row r="63" spans="1:2" x14ac:dyDescent="0.25">
      <c r="A63" t="s">
        <v>238</v>
      </c>
      <c r="B63" t="s">
        <v>692</v>
      </c>
    </row>
    <row r="64" spans="1:2" x14ac:dyDescent="0.25">
      <c r="A64" t="s">
        <v>239</v>
      </c>
      <c r="B64" t="s">
        <v>692</v>
      </c>
    </row>
    <row r="65" spans="1:2" x14ac:dyDescent="0.25">
      <c r="A65" t="s">
        <v>240</v>
      </c>
      <c r="B65" t="s">
        <v>692</v>
      </c>
    </row>
  </sheetData>
  <sortState xmlns:xlrd2="http://schemas.microsoft.com/office/spreadsheetml/2017/richdata2" ref="A1:B65">
    <sortCondition ref="B1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Loads</vt:lpstr>
      <vt:lpstr>Generators</vt:lpstr>
      <vt:lpstr>PV</vt:lpstr>
      <vt:lpstr>StatGen</vt:lpstr>
      <vt:lpstr>ExportConfig</vt:lpstr>
      <vt:lpstr>Rekonfiguracja</vt:lpstr>
      <vt:lpstr>Optymalizacja</vt:lpstr>
      <vt:lpstr>Do podmianki</vt:lpstr>
      <vt:lpstr>Surface2D</vt:lpstr>
      <vt:lpstr>Spis elementów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PrzepiĂłrka</cp:lastModifiedBy>
  <dcterms:created xsi:type="dcterms:W3CDTF">2026-01-19T09:33:19Z</dcterms:created>
  <dcterms:modified xsi:type="dcterms:W3CDTF">2026-03-20T07:23:46Z</dcterms:modified>
</cp:coreProperties>
</file>