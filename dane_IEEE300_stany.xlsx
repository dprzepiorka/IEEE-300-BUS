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N:\ksiz\STUDIA_DOKTORANCKIE\PRZEPIORKA\Modele sieci\Wysokie napiecie\PYTHON\"/>
    </mc:Choice>
  </mc:AlternateContent>
  <xr:revisionPtr revIDLastSave="0" documentId="13_ncr:1_{5DBCD7C7-5D28-4374-A0AD-436829DAD6F8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Loads" sheetId="1" r:id="rId1"/>
    <sheet name="Generators" sheetId="2" r:id="rId2"/>
    <sheet name="PV" sheetId="3" r:id="rId3"/>
    <sheet name="StatGen" sheetId="4" r:id="rId4"/>
    <sheet name="ExportConfig" sheetId="5" r:id="rId5"/>
    <sheet name="Zakresy" sheetId="7" r:id="rId6"/>
    <sheet name="Do podmianki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G10" i="7"/>
  <c r="H10" i="7"/>
  <c r="D11" i="7"/>
  <c r="G11" i="7"/>
  <c r="H11" i="7"/>
  <c r="D12" i="7"/>
  <c r="G12" i="7"/>
  <c r="H12" i="7"/>
  <c r="D13" i="7"/>
  <c r="G13" i="7"/>
  <c r="H13" i="7"/>
  <c r="D14" i="7"/>
  <c r="G14" i="7"/>
  <c r="H14" i="7"/>
  <c r="D15" i="7"/>
  <c r="G15" i="7"/>
  <c r="H15" i="7"/>
  <c r="D16" i="7"/>
  <c r="G16" i="7"/>
  <c r="H16" i="7"/>
  <c r="D17" i="7"/>
  <c r="G17" i="7"/>
  <c r="H17" i="7"/>
  <c r="D18" i="7"/>
  <c r="G18" i="7"/>
  <c r="H18" i="7"/>
  <c r="D19" i="7"/>
  <c r="G19" i="7"/>
  <c r="H19" i="7"/>
  <c r="D20" i="7"/>
  <c r="G20" i="7"/>
  <c r="H20" i="7"/>
  <c r="D21" i="7"/>
  <c r="G21" i="7"/>
  <c r="H21" i="7"/>
  <c r="D22" i="7"/>
  <c r="G22" i="7"/>
  <c r="H22" i="7"/>
  <c r="D23" i="7"/>
  <c r="G23" i="7"/>
  <c r="H23" i="7"/>
  <c r="D24" i="7"/>
  <c r="G24" i="7"/>
  <c r="H24" i="7"/>
  <c r="D31" i="7"/>
  <c r="G31" i="7"/>
  <c r="H31" i="7"/>
  <c r="D32" i="7"/>
  <c r="G32" i="7"/>
  <c r="H32" i="7"/>
  <c r="D33" i="7"/>
  <c r="G33" i="7"/>
  <c r="H33" i="7"/>
  <c r="D34" i="7"/>
  <c r="G34" i="7"/>
  <c r="H34" i="7"/>
  <c r="D35" i="7"/>
  <c r="G35" i="7"/>
  <c r="H35" i="7"/>
  <c r="D36" i="7"/>
  <c r="G36" i="7"/>
  <c r="H36" i="7"/>
  <c r="D37" i="7"/>
  <c r="G37" i="7"/>
  <c r="H37" i="7"/>
  <c r="D38" i="7"/>
  <c r="G38" i="7"/>
  <c r="H38" i="7"/>
  <c r="D39" i="7"/>
  <c r="G39" i="7"/>
  <c r="H39" i="7"/>
  <c r="D40" i="7"/>
  <c r="G40" i="7"/>
  <c r="H40" i="7"/>
  <c r="D41" i="7"/>
  <c r="G41" i="7"/>
  <c r="H41" i="7"/>
  <c r="D42" i="7"/>
  <c r="G42" i="7"/>
  <c r="H42" i="7"/>
  <c r="D43" i="7"/>
  <c r="G43" i="7"/>
  <c r="H43" i="7"/>
  <c r="D44" i="7"/>
  <c r="G44" i="7"/>
  <c r="H44" i="7"/>
  <c r="D45" i="7"/>
  <c r="G45" i="7"/>
  <c r="H45" i="7"/>
  <c r="D46" i="7"/>
  <c r="G46" i="7"/>
  <c r="H46" i="7"/>
  <c r="D47" i="7"/>
  <c r="G47" i="7"/>
  <c r="H47" i="7"/>
  <c r="D48" i="7"/>
  <c r="G48" i="7"/>
  <c r="H48" i="7"/>
  <c r="D49" i="7"/>
  <c r="G49" i="7"/>
  <c r="H49" i="7"/>
  <c r="D50" i="7"/>
  <c r="G50" i="7"/>
  <c r="H50" i="7"/>
  <c r="D51" i="7"/>
  <c r="G51" i="7"/>
  <c r="H51" i="7"/>
  <c r="D52" i="7"/>
  <c r="G52" i="7"/>
  <c r="H52" i="7"/>
  <c r="D53" i="7"/>
  <c r="G53" i="7"/>
  <c r="H53" i="7"/>
  <c r="D54" i="7"/>
  <c r="G54" i="7"/>
  <c r="H54" i="7"/>
  <c r="D55" i="7"/>
  <c r="G55" i="7"/>
  <c r="H55" i="7"/>
  <c r="D56" i="7"/>
  <c r="G56" i="7"/>
  <c r="H56" i="7"/>
  <c r="D57" i="7"/>
  <c r="G57" i="7"/>
  <c r="H57" i="7"/>
  <c r="D58" i="7"/>
  <c r="G58" i="7"/>
  <c r="H58" i="7"/>
  <c r="D59" i="7"/>
  <c r="G59" i="7"/>
  <c r="H59" i="7"/>
  <c r="D60" i="7"/>
  <c r="G60" i="7"/>
  <c r="H60" i="7"/>
  <c r="D61" i="7"/>
  <c r="G61" i="7"/>
  <c r="H61" i="7"/>
  <c r="D62" i="7"/>
  <c r="G62" i="7"/>
  <c r="H62" i="7"/>
  <c r="D63" i="7"/>
  <c r="G63" i="7"/>
  <c r="H63" i="7"/>
  <c r="D64" i="7"/>
  <c r="G64" i="7"/>
  <c r="H64" i="7"/>
  <c r="D65" i="7"/>
  <c r="G65" i="7"/>
  <c r="H65" i="7"/>
  <c r="D66" i="7"/>
  <c r="G66" i="7"/>
  <c r="H66" i="7"/>
  <c r="D67" i="7"/>
  <c r="G67" i="7"/>
  <c r="H67" i="7"/>
  <c r="D68" i="7"/>
  <c r="G68" i="7"/>
  <c r="H68" i="7"/>
  <c r="D69" i="7"/>
  <c r="G69" i="7"/>
  <c r="H69" i="7"/>
  <c r="D70" i="7"/>
  <c r="G70" i="7"/>
  <c r="H70" i="7"/>
  <c r="D71" i="7"/>
  <c r="G71" i="7"/>
  <c r="H71" i="7"/>
  <c r="D72" i="7"/>
  <c r="G72" i="7"/>
  <c r="H72" i="7"/>
  <c r="D73" i="7"/>
  <c r="G73" i="7"/>
  <c r="H73" i="7"/>
  <c r="D74" i="7"/>
  <c r="G74" i="7"/>
  <c r="H74" i="7"/>
  <c r="D75" i="7"/>
  <c r="G75" i="7"/>
  <c r="H75" i="7"/>
  <c r="D76" i="7"/>
  <c r="G76" i="7"/>
  <c r="H76" i="7"/>
  <c r="D77" i="7"/>
  <c r="G77" i="7"/>
  <c r="H77" i="7"/>
  <c r="D78" i="7"/>
  <c r="G78" i="7"/>
  <c r="H78" i="7"/>
  <c r="D79" i="7"/>
  <c r="G79" i="7"/>
  <c r="H79" i="7"/>
  <c r="D80" i="7"/>
  <c r="G80" i="7"/>
  <c r="H80" i="7"/>
  <c r="D81" i="7"/>
  <c r="G81" i="7"/>
  <c r="H81" i="7"/>
  <c r="D82" i="7"/>
  <c r="G82" i="7"/>
  <c r="H82" i="7"/>
  <c r="D83" i="7"/>
  <c r="G83" i="7"/>
  <c r="H83" i="7"/>
  <c r="D84" i="7"/>
  <c r="G84" i="7"/>
  <c r="H84" i="7"/>
  <c r="D85" i="7"/>
  <c r="G85" i="7"/>
  <c r="H85" i="7"/>
  <c r="D86" i="7"/>
  <c r="G86" i="7"/>
  <c r="H86" i="7"/>
  <c r="D87" i="7"/>
  <c r="G87" i="7"/>
  <c r="H87" i="7"/>
  <c r="D88" i="7"/>
  <c r="G88" i="7"/>
  <c r="H88" i="7"/>
  <c r="D89" i="7"/>
  <c r="G89" i="7"/>
  <c r="H89" i="7"/>
  <c r="D90" i="7"/>
  <c r="G90" i="7"/>
  <c r="H90" i="7"/>
  <c r="D91" i="7"/>
  <c r="G91" i="7"/>
  <c r="H91" i="7"/>
  <c r="D92" i="7"/>
  <c r="G92" i="7"/>
  <c r="H92" i="7"/>
  <c r="D93" i="7"/>
  <c r="G93" i="7"/>
  <c r="H93" i="7"/>
  <c r="D94" i="7"/>
  <c r="G94" i="7"/>
  <c r="H94" i="7"/>
  <c r="D95" i="7"/>
  <c r="G95" i="7"/>
  <c r="H95" i="7"/>
  <c r="D96" i="7"/>
  <c r="G96" i="7"/>
  <c r="H96" i="7"/>
  <c r="D97" i="7"/>
  <c r="G97" i="7"/>
  <c r="H97" i="7"/>
  <c r="D98" i="7"/>
  <c r="G98" i="7"/>
  <c r="H98" i="7"/>
  <c r="D99" i="7"/>
  <c r="G99" i="7"/>
  <c r="H99" i="7"/>
  <c r="D100" i="7"/>
  <c r="G100" i="7"/>
  <c r="H100" i="7"/>
  <c r="D101" i="7"/>
  <c r="G101" i="7"/>
  <c r="H101" i="7"/>
  <c r="D102" i="7"/>
  <c r="G102" i="7"/>
  <c r="H102" i="7"/>
  <c r="D103" i="7"/>
  <c r="G103" i="7"/>
  <c r="H103" i="7"/>
  <c r="D104" i="7"/>
  <c r="G104" i="7"/>
  <c r="H104" i="7"/>
  <c r="D105" i="7"/>
  <c r="G105" i="7"/>
  <c r="H105" i="7"/>
  <c r="D106" i="7"/>
  <c r="G106" i="7"/>
  <c r="H106" i="7"/>
  <c r="D107" i="7"/>
  <c r="G107" i="7"/>
  <c r="H107" i="7"/>
  <c r="D108" i="7"/>
  <c r="G108" i="7"/>
  <c r="H108" i="7"/>
  <c r="D109" i="7"/>
  <c r="G109" i="7"/>
  <c r="H109" i="7"/>
  <c r="D110" i="7"/>
  <c r="G110" i="7"/>
  <c r="H110" i="7"/>
  <c r="D111" i="7"/>
  <c r="G111" i="7"/>
  <c r="H111" i="7"/>
  <c r="D112" i="7"/>
  <c r="G112" i="7"/>
  <c r="H112" i="7"/>
  <c r="D113" i="7"/>
  <c r="G113" i="7"/>
  <c r="H113" i="7"/>
  <c r="D114" i="7"/>
  <c r="G114" i="7"/>
  <c r="H114" i="7"/>
  <c r="D115" i="7"/>
  <c r="G115" i="7"/>
  <c r="H115" i="7"/>
  <c r="D116" i="7"/>
  <c r="G116" i="7"/>
  <c r="H116" i="7"/>
  <c r="D117" i="7"/>
  <c r="G117" i="7"/>
  <c r="H117" i="7"/>
  <c r="D118" i="7"/>
  <c r="G118" i="7"/>
  <c r="H118" i="7"/>
  <c r="D119" i="7"/>
  <c r="G119" i="7"/>
  <c r="H119" i="7"/>
  <c r="D120" i="7"/>
  <c r="G120" i="7"/>
  <c r="H120" i="7"/>
  <c r="D121" i="7"/>
  <c r="G121" i="7"/>
  <c r="H121" i="7"/>
  <c r="D122" i="7"/>
  <c r="G122" i="7"/>
  <c r="H122" i="7"/>
  <c r="D123" i="7"/>
  <c r="G123" i="7"/>
  <c r="H123" i="7"/>
  <c r="D124" i="7"/>
  <c r="G124" i="7"/>
  <c r="H124" i="7"/>
  <c r="D125" i="7"/>
  <c r="G125" i="7"/>
  <c r="H125" i="7"/>
  <c r="D126" i="7"/>
  <c r="G126" i="7"/>
  <c r="H126" i="7"/>
  <c r="D127" i="7"/>
  <c r="G127" i="7"/>
  <c r="H127" i="7"/>
  <c r="D128" i="7"/>
  <c r="G128" i="7"/>
  <c r="H128" i="7"/>
  <c r="D129" i="7"/>
  <c r="G129" i="7"/>
  <c r="H129" i="7"/>
  <c r="D130" i="7"/>
  <c r="G130" i="7"/>
  <c r="H130" i="7"/>
  <c r="D131" i="7"/>
  <c r="G131" i="7"/>
  <c r="H131" i="7"/>
  <c r="D132" i="7"/>
  <c r="G132" i="7"/>
  <c r="H132" i="7"/>
  <c r="D133" i="7"/>
  <c r="G133" i="7"/>
  <c r="H133" i="7"/>
  <c r="D134" i="7"/>
  <c r="G134" i="7"/>
  <c r="H134" i="7"/>
  <c r="D135" i="7"/>
  <c r="G135" i="7"/>
  <c r="H135" i="7"/>
  <c r="D136" i="7"/>
  <c r="G136" i="7"/>
  <c r="H136" i="7"/>
  <c r="D137" i="7"/>
  <c r="G137" i="7"/>
  <c r="H137" i="7"/>
  <c r="G26" i="7"/>
  <c r="H26" i="7"/>
  <c r="G27" i="7"/>
  <c r="H27" i="7"/>
  <c r="G28" i="7"/>
  <c r="H28" i="7"/>
  <c r="G29" i="7"/>
  <c r="H29" i="7"/>
  <c r="H30" i="7"/>
  <c r="G30" i="7"/>
  <c r="D30" i="7"/>
  <c r="H25" i="7"/>
  <c r="G25" i="7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C2" i="2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C2" i="1"/>
  <c r="B2" i="1"/>
  <c r="B2" i="2"/>
  <c r="H3" i="7" l="1"/>
  <c r="H4" i="7"/>
  <c r="H5" i="7"/>
  <c r="H6" i="7"/>
  <c r="H7" i="7"/>
  <c r="H8" i="7"/>
  <c r="H9" i="7"/>
  <c r="H2" i="7"/>
  <c r="G3" i="7"/>
  <c r="G4" i="7"/>
  <c r="G5" i="7"/>
  <c r="G6" i="7"/>
  <c r="G7" i="7"/>
  <c r="G8" i="7"/>
  <c r="G9" i="7"/>
  <c r="G2" i="7"/>
  <c r="D9" i="7"/>
  <c r="D8" i="7"/>
  <c r="D7" i="7"/>
  <c r="D6" i="7"/>
  <c r="D5" i="7"/>
  <c r="D4" i="7"/>
  <c r="D3" i="7"/>
  <c r="D2" i="7"/>
  <c r="B136" i="4" l="1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C135" i="4"/>
  <c r="B135" i="4"/>
  <c r="Q136" i="4"/>
  <c r="R136" i="4"/>
  <c r="Q137" i="4"/>
  <c r="R137" i="4"/>
  <c r="Q138" i="4"/>
  <c r="R138" i="4"/>
  <c r="Q139" i="4"/>
  <c r="R139" i="4"/>
  <c r="Q140" i="4"/>
  <c r="R140" i="4"/>
  <c r="Q141" i="4"/>
  <c r="R141" i="4"/>
  <c r="Q142" i="4"/>
  <c r="R142" i="4"/>
  <c r="Q143" i="4"/>
  <c r="R143" i="4"/>
  <c r="Q144" i="4"/>
  <c r="R144" i="4"/>
  <c r="Q145" i="4"/>
  <c r="R145" i="4"/>
  <c r="Q146" i="4"/>
  <c r="R146" i="4"/>
  <c r="Q147" i="4"/>
  <c r="R147" i="4"/>
  <c r="Q148" i="4"/>
  <c r="R148" i="4"/>
  <c r="Q149" i="4"/>
  <c r="R149" i="4"/>
  <c r="Q150" i="4"/>
  <c r="R150" i="4"/>
  <c r="Q151" i="4"/>
  <c r="R151" i="4"/>
  <c r="Q152" i="4"/>
  <c r="R152" i="4"/>
  <c r="Q153" i="4"/>
  <c r="R153" i="4"/>
  <c r="Q154" i="4"/>
  <c r="R154" i="4"/>
  <c r="Q155" i="4"/>
  <c r="R155" i="4"/>
  <c r="Q156" i="4"/>
  <c r="R156" i="4"/>
  <c r="Q157" i="4"/>
  <c r="R157" i="4"/>
  <c r="Q158" i="4"/>
  <c r="R158" i="4"/>
  <c r="Q159" i="4"/>
  <c r="R159" i="4"/>
  <c r="Q160" i="4"/>
  <c r="R160" i="4"/>
  <c r="Q161" i="4"/>
  <c r="R161" i="4"/>
  <c r="Q162" i="4"/>
  <c r="R162" i="4"/>
  <c r="R135" i="4"/>
  <c r="Q135" i="4"/>
  <c r="B115" i="4"/>
  <c r="C115" i="4"/>
  <c r="C121" i="4"/>
  <c r="B121" i="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6" i="4"/>
  <c r="C117" i="4"/>
  <c r="C118" i="4"/>
  <c r="C119" i="4"/>
  <c r="C120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2" i="4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6" i="4"/>
  <c r="B117" i="4"/>
  <c r="B118" i="4"/>
  <c r="B119" i="4"/>
  <c r="B120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2" i="3"/>
  <c r="I66" i="2"/>
  <c r="I2" i="2"/>
  <c r="I40" i="2" l="1"/>
  <c r="I39" i="2"/>
  <c r="I63" i="2"/>
  <c r="I44" i="2"/>
  <c r="I15" i="2"/>
  <c r="I14" i="2"/>
  <c r="I65" i="2"/>
  <c r="I62" i="2"/>
  <c r="I64" i="2"/>
  <c r="I16" i="2"/>
  <c r="I38" i="2"/>
  <c r="I45" i="2"/>
  <c r="I21" i="2"/>
  <c r="I19" i="2"/>
  <c r="I18" i="2"/>
  <c r="I20" i="2"/>
  <c r="I17" i="2"/>
  <c r="I43" i="2"/>
  <c r="I42" i="2"/>
  <c r="I41" i="2"/>
  <c r="I61" i="2"/>
  <c r="I13" i="2"/>
  <c r="I60" i="2"/>
  <c r="I12" i="2"/>
  <c r="I35" i="2"/>
  <c r="I11" i="2"/>
  <c r="I58" i="2"/>
  <c r="I34" i="2"/>
  <c r="I57" i="2"/>
  <c r="I33" i="2"/>
  <c r="I32" i="2"/>
  <c r="I55" i="2"/>
  <c r="I7" i="2"/>
  <c r="I30" i="2"/>
  <c r="I53" i="2"/>
  <c r="I5" i="2"/>
  <c r="I28" i="2"/>
  <c r="I51" i="2"/>
  <c r="I3" i="2"/>
  <c r="I26" i="2"/>
  <c r="I25" i="2"/>
  <c r="I48" i="2"/>
  <c r="I24" i="2"/>
  <c r="I37" i="2"/>
  <c r="I36" i="2"/>
  <c r="I10" i="2"/>
  <c r="I9" i="2"/>
  <c r="I56" i="2"/>
  <c r="I8" i="2"/>
  <c r="I31" i="2"/>
  <c r="I54" i="2"/>
  <c r="I6" i="2"/>
  <c r="I29" i="2"/>
  <c r="I52" i="2"/>
  <c r="I4" i="2"/>
  <c r="I27" i="2"/>
  <c r="I50" i="2"/>
  <c r="I49" i="2"/>
  <c r="I47" i="2"/>
  <c r="I23" i="2"/>
  <c r="I46" i="2"/>
  <c r="I22" i="2"/>
</calcChain>
</file>

<file path=xl/sharedStrings.xml><?xml version="1.0" encoding="utf-8"?>
<sst xmlns="http://schemas.openxmlformats.org/spreadsheetml/2006/main" count="1359" uniqueCount="655">
  <si>
    <t>name</t>
  </si>
  <si>
    <t>P</t>
  </si>
  <si>
    <t>Q</t>
  </si>
  <si>
    <t>Ld10</t>
  </si>
  <si>
    <t>Ld100</t>
  </si>
  <si>
    <t>Ld102</t>
  </si>
  <si>
    <t>Ld103</t>
  </si>
  <si>
    <t>Ld104</t>
  </si>
  <si>
    <t>Ld105</t>
  </si>
  <si>
    <t>Ld107</t>
  </si>
  <si>
    <t>Ld108</t>
  </si>
  <si>
    <t>Ld109</t>
  </si>
  <si>
    <t>Ld11</t>
  </si>
  <si>
    <t>Ld110</t>
  </si>
  <si>
    <t>Ld112</t>
  </si>
  <si>
    <t>Ld113</t>
  </si>
  <si>
    <t>Ld114</t>
  </si>
  <si>
    <t>Ld118</t>
  </si>
  <si>
    <t>Ld119</t>
  </si>
  <si>
    <t>Ld120</t>
  </si>
  <si>
    <t>Ld121</t>
  </si>
  <si>
    <t>Ld123</t>
  </si>
  <si>
    <t>Ld124</t>
  </si>
  <si>
    <t>Ld126</t>
  </si>
  <si>
    <t>Ld127</t>
  </si>
  <si>
    <t>Ld13</t>
  </si>
  <si>
    <t>Ld135</t>
  </si>
  <si>
    <t>Ld136</t>
  </si>
  <si>
    <t>Ld137</t>
  </si>
  <si>
    <t>Ld138</t>
  </si>
  <si>
    <t>Ld139</t>
  </si>
  <si>
    <t>Ld14</t>
  </si>
  <si>
    <t>Ld140</t>
  </si>
  <si>
    <t>Ld141</t>
  </si>
  <si>
    <t>Ld142</t>
  </si>
  <si>
    <t>Ld143</t>
  </si>
  <si>
    <t>Ld144</t>
  </si>
  <si>
    <t>Ld145</t>
  </si>
  <si>
    <t>Ld148</t>
  </si>
  <si>
    <t>Ld15</t>
  </si>
  <si>
    <t>Ld152</t>
  </si>
  <si>
    <t>Ld154</t>
  </si>
  <si>
    <t>Ld155</t>
  </si>
  <si>
    <t>Ld156</t>
  </si>
  <si>
    <t>Ld157</t>
  </si>
  <si>
    <t>Ld159</t>
  </si>
  <si>
    <t>Ld16</t>
  </si>
  <si>
    <t>Ld161</t>
  </si>
  <si>
    <t>Ld163</t>
  </si>
  <si>
    <t>Ld167</t>
  </si>
  <si>
    <t>Ld17</t>
  </si>
  <si>
    <t>Ld171</t>
  </si>
  <si>
    <t>Ld173</t>
  </si>
  <si>
    <t>Ld175</t>
  </si>
  <si>
    <t>Ld176</t>
  </si>
  <si>
    <t>Ld177</t>
  </si>
  <si>
    <t>Ld178</t>
  </si>
  <si>
    <t>Ld179</t>
  </si>
  <si>
    <t>Ld18</t>
  </si>
  <si>
    <t>Ld180</t>
  </si>
  <si>
    <t>Ld181</t>
  </si>
  <si>
    <t>Ld182</t>
  </si>
  <si>
    <t>Ld183</t>
  </si>
  <si>
    <t>Ld184</t>
  </si>
  <si>
    <t>Ld186</t>
  </si>
  <si>
    <t>Ld187</t>
  </si>
  <si>
    <t>Ld188</t>
  </si>
  <si>
    <t>Ld19</t>
  </si>
  <si>
    <t>Ld191</t>
  </si>
  <si>
    <t>Ld192</t>
  </si>
  <si>
    <t>Ld196</t>
  </si>
  <si>
    <t>Ld197</t>
  </si>
  <si>
    <t>Ld198</t>
  </si>
  <si>
    <t>Ld199</t>
  </si>
  <si>
    <t>Ld2</t>
  </si>
  <si>
    <t>Ld20</t>
  </si>
  <si>
    <t>Ld200</t>
  </si>
  <si>
    <t>Ld201</t>
  </si>
  <si>
    <t>Ld202</t>
  </si>
  <si>
    <t>Ld203</t>
  </si>
  <si>
    <t>Ld204</t>
  </si>
  <si>
    <t>Ld205</t>
  </si>
  <si>
    <t>Ld206</t>
  </si>
  <si>
    <t>Ld207</t>
  </si>
  <si>
    <t>Ld208</t>
  </si>
  <si>
    <t>Ld209</t>
  </si>
  <si>
    <t>Ld21</t>
  </si>
  <si>
    <t>Ld211</t>
  </si>
  <si>
    <t>Ld214</t>
  </si>
  <si>
    <t>Ld215</t>
  </si>
  <si>
    <t>Ld216</t>
  </si>
  <si>
    <t>Ld217</t>
  </si>
  <si>
    <t>Ld218</t>
  </si>
  <si>
    <t>Ld22</t>
  </si>
  <si>
    <t>Ld220</t>
  </si>
  <si>
    <t>Ld221</t>
  </si>
  <si>
    <t>Ld222</t>
  </si>
  <si>
    <t>Ld223</t>
  </si>
  <si>
    <t>Ld224</t>
  </si>
  <si>
    <t>Ld225</t>
  </si>
  <si>
    <t>Ld227</t>
  </si>
  <si>
    <t>Ld228</t>
  </si>
  <si>
    <t>Ld229</t>
  </si>
  <si>
    <t>Ld23</t>
  </si>
  <si>
    <t>Ld231</t>
  </si>
  <si>
    <t>Ld232</t>
  </si>
  <si>
    <t>Ld234</t>
  </si>
  <si>
    <t>Ld235</t>
  </si>
  <si>
    <t>Ld238</t>
  </si>
  <si>
    <t>Ld24</t>
  </si>
  <si>
    <t>Ld243</t>
  </si>
  <si>
    <t>Ld245</t>
  </si>
  <si>
    <t>Ld246</t>
  </si>
  <si>
    <t>Ld247</t>
  </si>
  <si>
    <t>Ld248</t>
  </si>
  <si>
    <t>Ld25</t>
  </si>
  <si>
    <t>Ld26</t>
  </si>
  <si>
    <t>Ld27</t>
  </si>
  <si>
    <t>Ld281</t>
  </si>
  <si>
    <t>Ld3</t>
  </si>
  <si>
    <t>Ld319</t>
  </si>
  <si>
    <t>Ld320</t>
  </si>
  <si>
    <t>Ld323</t>
  </si>
  <si>
    <t>Ld33</t>
  </si>
  <si>
    <t>Ld34</t>
  </si>
  <si>
    <t>Ld35</t>
  </si>
  <si>
    <t>Ld36</t>
  </si>
  <si>
    <t>Ld37</t>
  </si>
  <si>
    <t>Ld371</t>
  </si>
  <si>
    <t>Ld372</t>
  </si>
  <si>
    <t>Ld38</t>
  </si>
  <si>
    <t>Ld39</t>
  </si>
  <si>
    <t>Ld4</t>
  </si>
  <si>
    <t>Ld40</t>
  </si>
  <si>
    <t>Ld41</t>
  </si>
  <si>
    <t>Ld42</t>
  </si>
  <si>
    <t>Ld43</t>
  </si>
  <si>
    <t>Ld44</t>
  </si>
  <si>
    <t>Ld45</t>
  </si>
  <si>
    <t>Ld46</t>
  </si>
  <si>
    <t>Ld47</t>
  </si>
  <si>
    <t>Ld48</t>
  </si>
  <si>
    <t>Ld49</t>
  </si>
  <si>
    <t>Ld5</t>
  </si>
  <si>
    <t>Ld51</t>
  </si>
  <si>
    <t>Ld52</t>
  </si>
  <si>
    <t>Ld526</t>
  </si>
  <si>
    <t>Ld528</t>
  </si>
  <si>
    <t>Ld53</t>
  </si>
  <si>
    <t>Ld531</t>
  </si>
  <si>
    <t>Ld54</t>
  </si>
  <si>
    <t>Ld55</t>
  </si>
  <si>
    <t>Ld552</t>
  </si>
  <si>
    <t>Ld57</t>
  </si>
  <si>
    <t>Ld58</t>
  </si>
  <si>
    <t>Ld59</t>
  </si>
  <si>
    <t>Ld6</t>
  </si>
  <si>
    <t>Ld60</t>
  </si>
  <si>
    <t>Ld609</t>
  </si>
  <si>
    <t>Ld61</t>
  </si>
  <si>
    <t>Ld62</t>
  </si>
  <si>
    <t>Ld63</t>
  </si>
  <si>
    <t>Ld69</t>
  </si>
  <si>
    <t>Ld7</t>
  </si>
  <si>
    <t>Ld70</t>
  </si>
  <si>
    <t>Ld7039</t>
  </si>
  <si>
    <t>Ld71</t>
  </si>
  <si>
    <t>Ld72</t>
  </si>
  <si>
    <t>Ld73</t>
  </si>
  <si>
    <t>Ld74</t>
  </si>
  <si>
    <t>Ld76</t>
  </si>
  <si>
    <t>Ld77</t>
  </si>
  <si>
    <t>Ld771</t>
  </si>
  <si>
    <t>Ld772</t>
  </si>
  <si>
    <t>Ld78</t>
  </si>
  <si>
    <t>Ld789</t>
  </si>
  <si>
    <t>Ld79</t>
  </si>
  <si>
    <t>Ld8</t>
  </si>
  <si>
    <t>Ld80</t>
  </si>
  <si>
    <t>Ld81</t>
  </si>
  <si>
    <t>Ld84</t>
  </si>
  <si>
    <t>Ld86</t>
  </si>
  <si>
    <t>Ld87</t>
  </si>
  <si>
    <t>Ld88</t>
  </si>
  <si>
    <t>Ld89</t>
  </si>
  <si>
    <t>Ld9</t>
  </si>
  <si>
    <t>Ld90</t>
  </si>
  <si>
    <t>Ld9001</t>
  </si>
  <si>
    <t>Ld91</t>
  </si>
  <si>
    <t>Ld92</t>
  </si>
  <si>
    <t>Ld94</t>
  </si>
  <si>
    <t>Ld97</t>
  </si>
  <si>
    <t>Ld98</t>
  </si>
  <si>
    <t>Ld99</t>
  </si>
  <si>
    <t>Ld1</t>
  </si>
  <si>
    <t>Gen1</t>
  </si>
  <si>
    <t>Gen10</t>
  </si>
  <si>
    <t>Gen10029</t>
  </si>
  <si>
    <t>Gen108</t>
  </si>
  <si>
    <t>Gen11</t>
  </si>
  <si>
    <t>Gen119</t>
  </si>
  <si>
    <t>Gen124</t>
  </si>
  <si>
    <t>Gen125</t>
  </si>
  <si>
    <t>Gen126</t>
  </si>
  <si>
    <t>Gen130</t>
  </si>
  <si>
    <t>Gen138</t>
  </si>
  <si>
    <t>Gen139</t>
  </si>
  <si>
    <t>Gen141</t>
  </si>
  <si>
    <t>Gen143</t>
  </si>
  <si>
    <t>Gen146</t>
  </si>
  <si>
    <t>Gen147</t>
  </si>
  <si>
    <t>Gen149</t>
  </si>
  <si>
    <t>Gen152</t>
  </si>
  <si>
    <t>Gen153</t>
  </si>
  <si>
    <t>Gen156</t>
  </si>
  <si>
    <t>Gen166</t>
  </si>
  <si>
    <t>Gen17</t>
  </si>
  <si>
    <t>Gen170</t>
  </si>
  <si>
    <t>Gen171</t>
  </si>
  <si>
    <t>Gen175</t>
  </si>
  <si>
    <t>Gen177</t>
  </si>
  <si>
    <t>Gen186</t>
  </si>
  <si>
    <t>Gen187</t>
  </si>
  <si>
    <t>Gen191</t>
  </si>
  <si>
    <t>Gen198</t>
  </si>
  <si>
    <t>Gen2</t>
  </si>
  <si>
    <t>Gen20</t>
  </si>
  <si>
    <t>Gen214</t>
  </si>
  <si>
    <t>Gen220</t>
  </si>
  <si>
    <t>Gen221</t>
  </si>
  <si>
    <t>Gen222</t>
  </si>
  <si>
    <t>Gen227</t>
  </si>
  <si>
    <t>Gen23</t>
  </si>
  <si>
    <t>Gen230</t>
  </si>
  <si>
    <t>Gen236</t>
  </si>
  <si>
    <t>Gen238</t>
  </si>
  <si>
    <t>Gen239</t>
  </si>
  <si>
    <t>Gen24</t>
  </si>
  <si>
    <t>Gen241</t>
  </si>
  <si>
    <t>Gen242</t>
  </si>
  <si>
    <t>Gen243</t>
  </si>
  <si>
    <t>Gen3</t>
  </si>
  <si>
    <t>Gen372</t>
  </si>
  <si>
    <t>Gen44</t>
  </si>
  <si>
    <t>Gen45</t>
  </si>
  <si>
    <t>Gen49</t>
  </si>
  <si>
    <t>Gen55</t>
  </si>
  <si>
    <t>Gen57</t>
  </si>
  <si>
    <t>Gen61</t>
  </si>
  <si>
    <t>Gen62</t>
  </si>
  <si>
    <t>Gen63</t>
  </si>
  <si>
    <t>Gen7039</t>
  </si>
  <si>
    <t>Gen71</t>
  </si>
  <si>
    <t>Gen76</t>
  </si>
  <si>
    <t>Gen772</t>
  </si>
  <si>
    <t>Gen8</t>
  </si>
  <si>
    <t>Gen84</t>
  </si>
  <si>
    <t>Gen9001</t>
  </si>
  <si>
    <t>Gen91</t>
  </si>
  <si>
    <t>Gen92</t>
  </si>
  <si>
    <t>PV1</t>
  </si>
  <si>
    <t>PV10</t>
  </si>
  <si>
    <t>PV100</t>
  </si>
  <si>
    <t>PV102</t>
  </si>
  <si>
    <t>PV103</t>
  </si>
  <si>
    <t>PV104</t>
  </si>
  <si>
    <t>PV105</t>
  </si>
  <si>
    <t>PV107</t>
  </si>
  <si>
    <t>PV108</t>
  </si>
  <si>
    <t>PV109</t>
  </si>
  <si>
    <t>PV11</t>
  </si>
  <si>
    <t>PV110</t>
  </si>
  <si>
    <t>PV112</t>
  </si>
  <si>
    <t>PV113</t>
  </si>
  <si>
    <t>PV114</t>
  </si>
  <si>
    <t>PV13</t>
  </si>
  <si>
    <t>PV14</t>
  </si>
  <si>
    <t>PV144</t>
  </si>
  <si>
    <t>PV15</t>
  </si>
  <si>
    <t>PV16</t>
  </si>
  <si>
    <t>PV17</t>
  </si>
  <si>
    <t>PV18</t>
  </si>
  <si>
    <t>PV19</t>
  </si>
  <si>
    <t>PV2</t>
  </si>
  <si>
    <t>PV20</t>
  </si>
  <si>
    <t>PV201</t>
  </si>
  <si>
    <t>PV207</t>
  </si>
  <si>
    <t>PV21</t>
  </si>
  <si>
    <t>PV22</t>
  </si>
  <si>
    <t>PV23</t>
  </si>
  <si>
    <t>PV24</t>
  </si>
  <si>
    <t>PV25</t>
  </si>
  <si>
    <t>PV26</t>
  </si>
  <si>
    <t>PV27</t>
  </si>
  <si>
    <t>PV3</t>
  </si>
  <si>
    <t>PV319</t>
  </si>
  <si>
    <t>PV320</t>
  </si>
  <si>
    <t>PV323</t>
  </si>
  <si>
    <t>PV33</t>
  </si>
  <si>
    <t>PV34</t>
  </si>
  <si>
    <t>PV35</t>
  </si>
  <si>
    <t>PV36</t>
  </si>
  <si>
    <t>PV37</t>
  </si>
  <si>
    <t>PV371</t>
  </si>
  <si>
    <t>PV372</t>
  </si>
  <si>
    <t>PV38</t>
  </si>
  <si>
    <t>PV39</t>
  </si>
  <si>
    <t>PV4</t>
  </si>
  <si>
    <t>PV40</t>
  </si>
  <si>
    <t>PV41</t>
  </si>
  <si>
    <t>PV42</t>
  </si>
  <si>
    <t>PV43</t>
  </si>
  <si>
    <t>PV44</t>
  </si>
  <si>
    <t>PV45</t>
  </si>
  <si>
    <t>PV46</t>
  </si>
  <si>
    <t>PV47</t>
  </si>
  <si>
    <t>PV48</t>
  </si>
  <si>
    <t>PV49</t>
  </si>
  <si>
    <t>PV5</t>
  </si>
  <si>
    <t>PV51</t>
  </si>
  <si>
    <t>PV52</t>
  </si>
  <si>
    <t>PV526</t>
  </si>
  <si>
    <t>PV528</t>
  </si>
  <si>
    <t>PV53</t>
  </si>
  <si>
    <t>PV531</t>
  </si>
  <si>
    <t>PV54</t>
  </si>
  <si>
    <t>PV55</t>
  </si>
  <si>
    <t>PV552</t>
  </si>
  <si>
    <t>PV57</t>
  </si>
  <si>
    <t>PV58</t>
  </si>
  <si>
    <t>PV59</t>
  </si>
  <si>
    <t>PV6</t>
  </si>
  <si>
    <t>PV60</t>
  </si>
  <si>
    <t>PV609</t>
  </si>
  <si>
    <t>PV61</t>
  </si>
  <si>
    <t>PV62</t>
  </si>
  <si>
    <t>PV63</t>
  </si>
  <si>
    <t>PV69</t>
  </si>
  <si>
    <t>PV7</t>
  </si>
  <si>
    <t>PV70</t>
  </si>
  <si>
    <t>PV7039</t>
  </si>
  <si>
    <t>PV71</t>
  </si>
  <si>
    <t>PV72</t>
  </si>
  <si>
    <t>PV73</t>
  </si>
  <si>
    <t>PV76</t>
  </si>
  <si>
    <t>PV77</t>
  </si>
  <si>
    <t>PV771</t>
  </si>
  <si>
    <t>PV772</t>
  </si>
  <si>
    <t>PV78</t>
  </si>
  <si>
    <t>PV79</t>
  </si>
  <si>
    <t>PV8</t>
  </si>
  <si>
    <t>PV80</t>
  </si>
  <si>
    <t>PV81</t>
  </si>
  <si>
    <t>PV84</t>
  </si>
  <si>
    <t>PV86</t>
  </si>
  <si>
    <t>PV87</t>
  </si>
  <si>
    <t>PV88</t>
  </si>
  <si>
    <t>PV89</t>
  </si>
  <si>
    <t>PV9</t>
  </si>
  <si>
    <t>PV90</t>
  </si>
  <si>
    <t>PV9001</t>
  </si>
  <si>
    <t>PV91</t>
  </si>
  <si>
    <t>PV92</t>
  </si>
  <si>
    <t>PV94</t>
  </si>
  <si>
    <t>PV97</t>
  </si>
  <si>
    <t>PV98</t>
  </si>
  <si>
    <t>PV99</t>
  </si>
  <si>
    <t>FW.10</t>
  </si>
  <si>
    <t>FW.13</t>
  </si>
  <si>
    <t>FW.20</t>
  </si>
  <si>
    <t>FW.21</t>
  </si>
  <si>
    <t>FW.7</t>
  </si>
  <si>
    <t>FW.11</t>
  </si>
  <si>
    <t>FW.5</t>
  </si>
  <si>
    <t>FW.6</t>
  </si>
  <si>
    <t>FW.8</t>
  </si>
  <si>
    <t>FW.14</t>
  </si>
  <si>
    <t>FW.2</t>
  </si>
  <si>
    <t>FW.9</t>
  </si>
  <si>
    <t>FW.19</t>
  </si>
  <si>
    <t>FW.22</t>
  </si>
  <si>
    <t>FW.207</t>
  </si>
  <si>
    <t>FW.114</t>
  </si>
  <si>
    <t>FW.27</t>
  </si>
  <si>
    <t>FW.26</t>
  </si>
  <si>
    <t>FW.320</t>
  </si>
  <si>
    <t>FW.25</t>
  </si>
  <si>
    <t>FW.109</t>
  </si>
  <si>
    <t>FW.113</t>
  </si>
  <si>
    <t>FW.24</t>
  </si>
  <si>
    <t>FW.23</t>
  </si>
  <si>
    <t>FW.319</t>
  </si>
  <si>
    <t>FW.70</t>
  </si>
  <si>
    <t>FW.47</t>
  </si>
  <si>
    <t>FW.44</t>
  </si>
  <si>
    <t>FW.71</t>
  </si>
  <si>
    <t>FW.112</t>
  </si>
  <si>
    <t>FW.531</t>
  </si>
  <si>
    <t>FW.80</t>
  </si>
  <si>
    <t>FW.79</t>
  </si>
  <si>
    <t>FW.78</t>
  </si>
  <si>
    <t>FW.72</t>
  </si>
  <si>
    <t>FW.77</t>
  </si>
  <si>
    <t>FW.609</t>
  </si>
  <si>
    <t>FW.771</t>
  </si>
  <si>
    <t>FW.772</t>
  </si>
  <si>
    <t>FW.552</t>
  </si>
  <si>
    <t>FW.76</t>
  </si>
  <si>
    <t>FW.110</t>
  </si>
  <si>
    <t>FW.99</t>
  </si>
  <si>
    <t>FW.104</t>
  </si>
  <si>
    <t>FW.108</t>
  </si>
  <si>
    <t>FW.9001</t>
  </si>
  <si>
    <t>FW.35</t>
  </si>
  <si>
    <t>FW.36</t>
  </si>
  <si>
    <t>FW.45</t>
  </si>
  <si>
    <t>FW.88</t>
  </si>
  <si>
    <t>FW.81</t>
  </si>
  <si>
    <t>FW.4</t>
  </si>
  <si>
    <t>FW.18</t>
  </si>
  <si>
    <t>FW.16</t>
  </si>
  <si>
    <t>FW.89</t>
  </si>
  <si>
    <t>FW.15</t>
  </si>
  <si>
    <t>FW.17</t>
  </si>
  <si>
    <t>FW.97</t>
  </si>
  <si>
    <t>FW.34</t>
  </si>
  <si>
    <t>FW.86</t>
  </si>
  <si>
    <t>FW.41</t>
  </si>
  <si>
    <t>FW.38</t>
  </si>
  <si>
    <t>FW.98</t>
  </si>
  <si>
    <t>FW.103</t>
  </si>
  <si>
    <t>FW.53</t>
  </si>
  <si>
    <t>FW.33</t>
  </si>
  <si>
    <t>FW.43</t>
  </si>
  <si>
    <t>FW.107</t>
  </si>
  <si>
    <t>FW.105</t>
  </si>
  <si>
    <t>FW.48</t>
  </si>
  <si>
    <t>FW.92</t>
  </si>
  <si>
    <t>FW.90</t>
  </si>
  <si>
    <t>FW.37</t>
  </si>
  <si>
    <t>FW.371</t>
  </si>
  <si>
    <t>FW.372</t>
  </si>
  <si>
    <t>FW.201</t>
  </si>
  <si>
    <t>FW.63</t>
  </si>
  <si>
    <t>FW.526</t>
  </si>
  <si>
    <t>FW.57</t>
  </si>
  <si>
    <t>FW.55</t>
  </si>
  <si>
    <t>FW.60</t>
  </si>
  <si>
    <t>FW.87</t>
  </si>
  <si>
    <t>FW.94</t>
  </si>
  <si>
    <t>FW.52</t>
  </si>
  <si>
    <t>FW.58</t>
  </si>
  <si>
    <t>FW.61</t>
  </si>
  <si>
    <t>FW.62</t>
  </si>
  <si>
    <t>FW.51</t>
  </si>
  <si>
    <t>FW.49</t>
  </si>
  <si>
    <t>FW.54</t>
  </si>
  <si>
    <t>FW.323</t>
  </si>
  <si>
    <t>FW.100</t>
  </si>
  <si>
    <t>FW.39</t>
  </si>
  <si>
    <t>FW.7039</t>
  </si>
  <si>
    <t>FW.91</t>
  </si>
  <si>
    <t>FW.1</t>
  </si>
  <si>
    <t>FW.73</t>
  </si>
  <si>
    <t>FW.84</t>
  </si>
  <si>
    <t>FW.528</t>
  </si>
  <si>
    <t>FW.40</t>
  </si>
  <si>
    <t>FW.144</t>
  </si>
  <si>
    <t>FW.59</t>
  </si>
  <si>
    <t>FW.42</t>
  </si>
  <si>
    <t>FW.69</t>
  </si>
  <si>
    <t>FW.102</t>
  </si>
  <si>
    <t>FW.3</t>
  </si>
  <si>
    <t>FW.46</t>
  </si>
  <si>
    <t>ES104</t>
  </si>
  <si>
    <t>ES105</t>
  </si>
  <si>
    <t>ES11</t>
  </si>
  <si>
    <t>ES113</t>
  </si>
  <si>
    <t>ES17</t>
  </si>
  <si>
    <t>ES23</t>
  </si>
  <si>
    <t>ES3</t>
  </si>
  <si>
    <t>ES33</t>
  </si>
  <si>
    <t>ES36</t>
  </si>
  <si>
    <t>ES37</t>
  </si>
  <si>
    <t>ES371</t>
  </si>
  <si>
    <t>ES42</t>
  </si>
  <si>
    <t>ES49</t>
  </si>
  <si>
    <t>ES5</t>
  </si>
  <si>
    <t>ES54</t>
  </si>
  <si>
    <t>ES55</t>
  </si>
  <si>
    <t>ES63</t>
  </si>
  <si>
    <t>ES69</t>
  </si>
  <si>
    <t>ES7</t>
  </si>
  <si>
    <t>ES74</t>
  </si>
  <si>
    <t>ES77</t>
  </si>
  <si>
    <t>ES8</t>
  </si>
  <si>
    <t>ES84</t>
  </si>
  <si>
    <t>Element_Type</t>
  </si>
  <si>
    <t>Column_Name</t>
  </si>
  <si>
    <t>PF_Attribute</t>
  </si>
  <si>
    <t>Unit</t>
  </si>
  <si>
    <t>Format</t>
  </si>
  <si>
    <t>ElmTerm</t>
  </si>
  <si>
    <t>Nazwa</t>
  </si>
  <si>
    <t>loc_name</t>
  </si>
  <si>
    <t>-</t>
  </si>
  <si>
    <t>str</t>
  </si>
  <si>
    <t>uknom</t>
  </si>
  <si>
    <t>kV</t>
  </si>
  <si>
    <t>.3f</t>
  </si>
  <si>
    <t>m:u</t>
  </si>
  <si>
    <t>p.u.</t>
  </si>
  <si>
    <t>.4f</t>
  </si>
  <si>
    <t>m:phiu</t>
  </si>
  <si>
    <t>°</t>
  </si>
  <si>
    <t>.2f</t>
  </si>
  <si>
    <t>ElmLne</t>
  </si>
  <si>
    <t>Linia</t>
  </si>
  <si>
    <t>c:loading</t>
  </si>
  <si>
    <t>%</t>
  </si>
  <si>
    <t>Transformator</t>
  </si>
  <si>
    <t>Odczep</t>
  </si>
  <si>
    <t>.0f</t>
  </si>
  <si>
    <t>Un [kV]</t>
  </si>
  <si>
    <t>. 2f</t>
  </si>
  <si>
    <t>U [kV]</t>
  </si>
  <si>
    <t>U [p. u.]</t>
  </si>
  <si>
    <t>Kąt [°]</t>
  </si>
  <si>
    <t>Obciążenie [%]</t>
  </si>
  <si>
    <t>m:Ul</t>
  </si>
  <si>
    <t>Nominal Current</t>
  </si>
  <si>
    <t>kA</t>
  </si>
  <si>
    <t>Maximum Current</t>
  </si>
  <si>
    <t>c:curnom</t>
  </si>
  <si>
    <t>c:Imax</t>
  </si>
  <si>
    <t>ElmTr3</t>
  </si>
  <si>
    <t>c:n3tap_h</t>
  </si>
  <si>
    <t>Wyjściowe</t>
  </si>
  <si>
    <t>ES110</t>
  </si>
  <si>
    <t>Element_Name</t>
  </si>
  <si>
    <t>Attribute_P</t>
  </si>
  <si>
    <t>Pmin</t>
  </si>
  <si>
    <t>Pmax</t>
  </si>
  <si>
    <t>Attribute_Q</t>
  </si>
  <si>
    <t>Qmin</t>
  </si>
  <si>
    <t>Qmax</t>
  </si>
  <si>
    <t>pgini</t>
  </si>
  <si>
    <t>qgini</t>
  </si>
  <si>
    <t>ElmGenstat</t>
  </si>
  <si>
    <t>ElmLod</t>
  </si>
  <si>
    <t>plini</t>
  </si>
  <si>
    <t>qlini</t>
  </si>
  <si>
    <t>MATLAB</t>
  </si>
  <si>
    <t>Początkowe</t>
  </si>
  <si>
    <t>Poczatkowe</t>
  </si>
  <si>
    <t>Matlab</t>
  </si>
  <si>
    <t>-1.200000</t>
  </si>
  <si>
    <t>-17.300000</t>
  </si>
  <si>
    <t>-96.900000</t>
  </si>
  <si>
    <t>-98.300000</t>
  </si>
  <si>
    <t>-100.600000</t>
  </si>
  <si>
    <t>-79.900000</t>
  </si>
  <si>
    <t>-16.900000</t>
  </si>
  <si>
    <t>-4.600000</t>
  </si>
  <si>
    <t>-2.700000</t>
  </si>
  <si>
    <t>0.000000</t>
  </si>
  <si>
    <t>-25.400000</t>
  </si>
  <si>
    <t>-30.500000</t>
  </si>
  <si>
    <t>-8.600000</t>
  </si>
  <si>
    <t>-6.300000</t>
  </si>
  <si>
    <t>-10.400000</t>
  </si>
  <si>
    <t>-20.100000</t>
  </si>
  <si>
    <t>-48.800000</t>
  </si>
  <si>
    <t>3.448632</t>
  </si>
  <si>
    <t>-72.056516</t>
  </si>
  <si>
    <t>50.034211</t>
  </si>
  <si>
    <t>36.511085</t>
  </si>
  <si>
    <t>-0.987729</t>
  </si>
  <si>
    <t>31.695605</t>
  </si>
  <si>
    <t>53.073133</t>
  </si>
  <si>
    <t>33.599340</t>
  </si>
  <si>
    <t>67.623943</t>
  </si>
  <si>
    <t>36.486033</t>
  </si>
  <si>
    <t>11.631022</t>
  </si>
  <si>
    <t>-6.850199</t>
  </si>
  <si>
    <t>0.715689</t>
  </si>
  <si>
    <t>-65.448130</t>
  </si>
  <si>
    <t>34.215523</t>
  </si>
  <si>
    <t>48.373174</t>
  </si>
  <si>
    <t>8.136452</t>
  </si>
  <si>
    <t>115.282853</t>
  </si>
  <si>
    <t>51.847021</t>
  </si>
  <si>
    <t>23.431296</t>
  </si>
  <si>
    <t>3.130943</t>
  </si>
  <si>
    <t>4.462944</t>
  </si>
  <si>
    <t>123.603245</t>
  </si>
  <si>
    <t>34.783185</t>
  </si>
  <si>
    <t>0.161619</t>
  </si>
  <si>
    <t>31.511771</t>
  </si>
  <si>
    <t>0.566863</t>
  </si>
  <si>
    <t>92.787132</t>
  </si>
  <si>
    <t>-51.874287</t>
  </si>
  <si>
    <t>28.722659</t>
  </si>
  <si>
    <t>0.001375</t>
  </si>
  <si>
    <t>39.167557</t>
  </si>
  <si>
    <t>83.000000</t>
  </si>
  <si>
    <t>0.674528</t>
  </si>
  <si>
    <t>0.400000</t>
  </si>
  <si>
    <t>49.265308</t>
  </si>
  <si>
    <t>-207.839136</t>
  </si>
  <si>
    <t>-247.061862</t>
  </si>
  <si>
    <t>-148.237661</t>
  </si>
  <si>
    <t>146.059400</t>
  </si>
  <si>
    <t>5.439050</t>
  </si>
  <si>
    <t>223.925793</t>
  </si>
  <si>
    <t>-4.955381</t>
  </si>
  <si>
    <t>103.635528</t>
  </si>
  <si>
    <t>-1.387103</t>
  </si>
  <si>
    <t>41.498987</t>
  </si>
  <si>
    <t>4.500000</t>
  </si>
  <si>
    <t>ES4</t>
  </si>
  <si>
    <t>ES24</t>
  </si>
  <si>
    <t>GenSta1</t>
  </si>
  <si>
    <t>GenSta10</t>
  </si>
  <si>
    <t>GenSta108</t>
  </si>
  <si>
    <t>GenSta11</t>
  </si>
  <si>
    <t>GenSta17</t>
  </si>
  <si>
    <t>GenSta2</t>
  </si>
  <si>
    <t>GenSta20</t>
  </si>
  <si>
    <t>GenSta23</t>
  </si>
  <si>
    <t>GenSta24</t>
  </si>
  <si>
    <t>GenSta3</t>
  </si>
  <si>
    <t>GenSta372</t>
  </si>
  <si>
    <t>GenSta44</t>
  </si>
  <si>
    <t>GenSta45</t>
  </si>
  <si>
    <t>GenSta49</t>
  </si>
  <si>
    <t>GenSta55</t>
  </si>
  <si>
    <t>GenSta57</t>
  </si>
  <si>
    <t>GenSta61</t>
  </si>
  <si>
    <t>GenSta62</t>
  </si>
  <si>
    <t>GenSta63</t>
  </si>
  <si>
    <t>GenSta7039</t>
  </si>
  <si>
    <t>GenSta71</t>
  </si>
  <si>
    <t>GenSta76</t>
  </si>
  <si>
    <t>GenSta772</t>
  </si>
  <si>
    <t>GenSta8</t>
  </si>
  <si>
    <t>GenSta84</t>
  </si>
  <si>
    <t>GenSta9001</t>
  </si>
  <si>
    <t>GenSta91</t>
  </si>
  <si>
    <t>GenSta92</t>
  </si>
  <si>
    <t>ES.11</t>
  </si>
  <si>
    <t>ES.23</t>
  </si>
  <si>
    <t>ES.7</t>
  </si>
  <si>
    <t>ES.74</t>
  </si>
  <si>
    <t>ES.77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</si>
</sst>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0"/>
      <color theme="1"/>
      <name val="Consolas"/>
      <family val="3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indent="3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ksiz\STUDIA_DOKTORANCKIE\PRZEPIORKA\Modele%20sieci\Wysokie%20napiecie\PYTHON\Wyniki%20Optymalizacji\5.1\dane_IEEE300%20-%20bez%20s&#322;abych.xlsx" TargetMode="External"/><Relationship Id="rId1" Type="http://schemas.openxmlformats.org/officeDocument/2006/relationships/externalLinkPath" Target="Wyniki%20Optymalizacji/5.1/dane_IEEE300%20-%20bez%20s&#322;aby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s"/>
      <sheetName val="Generators"/>
      <sheetName val="PV"/>
      <sheetName val="StatGen"/>
      <sheetName val="ExportConfig"/>
      <sheetName val="Optymalizacja"/>
      <sheetName val="Rekonfiguracja"/>
      <sheetName val="Do podmianki"/>
      <sheetName val="Spis elementów"/>
      <sheetName val="Arkusz1"/>
    </sheetNames>
    <sheetDataSet>
      <sheetData sheetId="0">
        <row r="1">
          <cell r="A1" t="str">
            <v>name</v>
          </cell>
          <cell r="B1" t="str">
            <v>P</v>
          </cell>
        </row>
        <row r="2">
          <cell r="A2" t="str">
            <v>Ld1</v>
          </cell>
          <cell r="B2">
            <v>6.7</v>
          </cell>
        </row>
        <row r="3">
          <cell r="A3" t="str">
            <v>Ld10</v>
          </cell>
          <cell r="B3">
            <v>7.5</v>
          </cell>
        </row>
        <row r="4">
          <cell r="A4" t="str">
            <v>Ld100</v>
          </cell>
          <cell r="B4">
            <v>12.4</v>
          </cell>
        </row>
        <row r="5">
          <cell r="A5" t="str">
            <v>Ld102</v>
          </cell>
          <cell r="B5">
            <v>6.3</v>
          </cell>
        </row>
        <row r="6">
          <cell r="A6" t="str">
            <v>Ld103</v>
          </cell>
          <cell r="B6">
            <v>4.8</v>
          </cell>
        </row>
        <row r="7">
          <cell r="A7" t="str">
            <v>Ld104</v>
          </cell>
          <cell r="B7">
            <v>8.3000000000000007</v>
          </cell>
        </row>
        <row r="8">
          <cell r="A8" t="str">
            <v>Ld105</v>
          </cell>
          <cell r="B8">
            <v>4.2</v>
          </cell>
        </row>
        <row r="9">
          <cell r="A9" t="str">
            <v>Ld107</v>
          </cell>
          <cell r="B9">
            <v>11.6</v>
          </cell>
        </row>
        <row r="10">
          <cell r="A10" t="str">
            <v>Ld108</v>
          </cell>
          <cell r="B10">
            <v>8.1999999999999993</v>
          </cell>
        </row>
        <row r="11">
          <cell r="A11" t="str">
            <v>Ld109</v>
          </cell>
          <cell r="B11">
            <v>10</v>
          </cell>
        </row>
        <row r="12">
          <cell r="A12" t="str">
            <v>Ld11</v>
          </cell>
          <cell r="B12">
            <v>8.3000000000000007</v>
          </cell>
        </row>
        <row r="13">
          <cell r="A13" t="str">
            <v>Ld110</v>
          </cell>
          <cell r="B13">
            <v>6</v>
          </cell>
        </row>
        <row r="14">
          <cell r="A14" t="str">
            <v>Ld112</v>
          </cell>
          <cell r="B14">
            <v>4</v>
          </cell>
        </row>
        <row r="15">
          <cell r="A15" t="str">
            <v>Ld113</v>
          </cell>
          <cell r="B15">
            <v>6.4</v>
          </cell>
        </row>
        <row r="16">
          <cell r="A16" t="str">
            <v>Ld114</v>
          </cell>
          <cell r="B16">
            <v>4.5</v>
          </cell>
        </row>
        <row r="17">
          <cell r="A17" t="str">
            <v>Ld118</v>
          </cell>
          <cell r="B17">
            <v>5</v>
          </cell>
        </row>
        <row r="18">
          <cell r="A18" t="str">
            <v>Ld119</v>
          </cell>
          <cell r="B18">
            <v>10.199999999999999</v>
          </cell>
        </row>
        <row r="19">
          <cell r="A19" t="str">
            <v>Ld120</v>
          </cell>
          <cell r="B19">
            <v>90</v>
          </cell>
        </row>
        <row r="20">
          <cell r="A20" t="str">
            <v>Ld121</v>
          </cell>
          <cell r="B20">
            <v>26.2</v>
          </cell>
        </row>
        <row r="21">
          <cell r="A21" t="str">
            <v>Ld123</v>
          </cell>
          <cell r="B21">
            <v>32</v>
          </cell>
        </row>
        <row r="22">
          <cell r="A22" t="str">
            <v>Ld124</v>
          </cell>
          <cell r="B22">
            <v>8</v>
          </cell>
        </row>
        <row r="23">
          <cell r="A23" t="str">
            <v>Ld126</v>
          </cell>
          <cell r="B23">
            <v>113</v>
          </cell>
        </row>
        <row r="24">
          <cell r="A24" t="str">
            <v>Ld127</v>
          </cell>
          <cell r="B24">
            <v>7.5</v>
          </cell>
        </row>
        <row r="25">
          <cell r="A25" t="str">
            <v>Ld13</v>
          </cell>
          <cell r="B25">
            <v>9.6999999999999993</v>
          </cell>
        </row>
        <row r="26">
          <cell r="A26" t="str">
            <v>Ld135</v>
          </cell>
          <cell r="B26">
            <v>14</v>
          </cell>
        </row>
        <row r="27">
          <cell r="A27" t="str">
            <v>Ld136</v>
          </cell>
          <cell r="B27">
            <v>88.2</v>
          </cell>
        </row>
        <row r="28">
          <cell r="A28" t="str">
            <v>Ld137</v>
          </cell>
          <cell r="B28">
            <v>125</v>
          </cell>
        </row>
        <row r="29">
          <cell r="A29" t="str">
            <v>Ld138</v>
          </cell>
          <cell r="B29">
            <v>26.5</v>
          </cell>
        </row>
        <row r="30">
          <cell r="A30" t="str">
            <v>Ld139</v>
          </cell>
          <cell r="B30">
            <v>33</v>
          </cell>
        </row>
        <row r="31">
          <cell r="A31" t="str">
            <v>Ld14</v>
          </cell>
          <cell r="B31">
            <v>51.6</v>
          </cell>
        </row>
        <row r="32">
          <cell r="A32" t="str">
            <v>Ld140</v>
          </cell>
          <cell r="B32">
            <v>38.700000000000003</v>
          </cell>
        </row>
        <row r="33">
          <cell r="A33" t="str">
            <v>Ld141</v>
          </cell>
          <cell r="B33">
            <v>22</v>
          </cell>
        </row>
        <row r="34">
          <cell r="A34" t="str">
            <v>Ld142</v>
          </cell>
          <cell r="B34">
            <v>28.5</v>
          </cell>
        </row>
        <row r="35">
          <cell r="A35" t="str">
            <v>Ld143</v>
          </cell>
          <cell r="B35">
            <v>9.8000000000000007</v>
          </cell>
        </row>
        <row r="36">
          <cell r="A36" t="str">
            <v>Ld144</v>
          </cell>
          <cell r="B36">
            <v>10.4</v>
          </cell>
        </row>
        <row r="37">
          <cell r="A37" t="str">
            <v>Ld145</v>
          </cell>
          <cell r="B37">
            <v>27.8</v>
          </cell>
        </row>
        <row r="38">
          <cell r="A38" t="str">
            <v>Ld148</v>
          </cell>
          <cell r="B38">
            <v>5.2</v>
          </cell>
        </row>
        <row r="39">
          <cell r="A39" t="str">
            <v>Ld15</v>
          </cell>
          <cell r="B39">
            <v>13.3</v>
          </cell>
        </row>
        <row r="40">
          <cell r="A40" t="str">
            <v>Ld152</v>
          </cell>
          <cell r="B40">
            <v>38.700000000000003</v>
          </cell>
        </row>
        <row r="41">
          <cell r="A41" t="str">
            <v>Ld154</v>
          </cell>
          <cell r="B41">
            <v>11</v>
          </cell>
        </row>
        <row r="42">
          <cell r="A42" t="str">
            <v>Ld155</v>
          </cell>
          <cell r="B42">
            <v>29.2</v>
          </cell>
        </row>
        <row r="43">
          <cell r="A43" t="str">
            <v>Ld156</v>
          </cell>
          <cell r="B43">
            <v>10.5</v>
          </cell>
        </row>
        <row r="44">
          <cell r="A44" t="str">
            <v>Ld157</v>
          </cell>
          <cell r="B44">
            <v>11.8</v>
          </cell>
        </row>
        <row r="45">
          <cell r="A45" t="str">
            <v>Ld159</v>
          </cell>
          <cell r="B45">
            <v>5</v>
          </cell>
        </row>
        <row r="46">
          <cell r="A46" t="str">
            <v>Ld16</v>
          </cell>
          <cell r="B46">
            <v>13.3</v>
          </cell>
        </row>
        <row r="47">
          <cell r="A47" t="str">
            <v>Ld161</v>
          </cell>
          <cell r="B47">
            <v>118.5</v>
          </cell>
        </row>
        <row r="48">
          <cell r="A48" t="str">
            <v>Ld163</v>
          </cell>
          <cell r="B48">
            <v>34.5</v>
          </cell>
        </row>
        <row r="49">
          <cell r="A49" t="str">
            <v>Ld167</v>
          </cell>
          <cell r="B49">
            <v>42.5</v>
          </cell>
        </row>
        <row r="50">
          <cell r="A50" t="str">
            <v>Ld17</v>
          </cell>
          <cell r="B50">
            <v>12.7</v>
          </cell>
        </row>
        <row r="51">
          <cell r="A51" t="str">
            <v>Ld171</v>
          </cell>
          <cell r="B51">
            <v>5.8</v>
          </cell>
        </row>
        <row r="52">
          <cell r="A52" t="str">
            <v>Ld173</v>
          </cell>
          <cell r="B52">
            <v>14.2</v>
          </cell>
        </row>
        <row r="53">
          <cell r="A53" t="str">
            <v>Ld175</v>
          </cell>
          <cell r="B53">
            <v>24.2</v>
          </cell>
        </row>
        <row r="54">
          <cell r="A54" t="str">
            <v>Ld176</v>
          </cell>
          <cell r="B54">
            <v>26.5</v>
          </cell>
        </row>
        <row r="55">
          <cell r="A55" t="str">
            <v>Ld177</v>
          </cell>
          <cell r="B55">
            <v>21</v>
          </cell>
        </row>
        <row r="56">
          <cell r="A56" t="str">
            <v>Ld178</v>
          </cell>
          <cell r="B56">
            <v>19</v>
          </cell>
        </row>
        <row r="57">
          <cell r="A57" t="str">
            <v>Ld179</v>
          </cell>
          <cell r="B57">
            <v>7</v>
          </cell>
        </row>
        <row r="58">
          <cell r="A58" t="str">
            <v>Ld18</v>
          </cell>
          <cell r="B58">
            <v>8.1</v>
          </cell>
        </row>
        <row r="59">
          <cell r="A59" t="str">
            <v>Ld180</v>
          </cell>
          <cell r="B59">
            <v>12</v>
          </cell>
        </row>
        <row r="60">
          <cell r="A60" t="str">
            <v>Ld181</v>
          </cell>
          <cell r="B60">
            <v>8.8000000000000007</v>
          </cell>
        </row>
        <row r="61">
          <cell r="A61" t="str">
            <v>Ld182</v>
          </cell>
          <cell r="B61">
            <v>19.7</v>
          </cell>
        </row>
        <row r="62">
          <cell r="A62" t="str">
            <v>Ld183</v>
          </cell>
          <cell r="B62">
            <v>48</v>
          </cell>
        </row>
        <row r="63">
          <cell r="A63" t="str">
            <v>Ld184</v>
          </cell>
          <cell r="B63">
            <v>22.5</v>
          </cell>
        </row>
        <row r="64">
          <cell r="A64" t="str">
            <v>Ld186</v>
          </cell>
          <cell r="B64">
            <v>84</v>
          </cell>
        </row>
        <row r="65">
          <cell r="A65" t="str">
            <v>Ld187</v>
          </cell>
          <cell r="B65">
            <v>7.2</v>
          </cell>
        </row>
        <row r="66">
          <cell r="A66" t="str">
            <v>Ld188</v>
          </cell>
          <cell r="B66">
            <v>17.5</v>
          </cell>
        </row>
        <row r="67">
          <cell r="A67" t="str">
            <v>Ld19</v>
          </cell>
          <cell r="B67">
            <v>8.8000000000000007</v>
          </cell>
        </row>
        <row r="68">
          <cell r="A68" t="str">
            <v>Ld191</v>
          </cell>
          <cell r="B68">
            <v>5.8</v>
          </cell>
        </row>
        <row r="69">
          <cell r="A69" t="str">
            <v>Ld192</v>
          </cell>
          <cell r="B69">
            <v>13.2</v>
          </cell>
        </row>
        <row r="70">
          <cell r="A70" t="str">
            <v>Ld196</v>
          </cell>
          <cell r="B70">
            <v>12.6</v>
          </cell>
        </row>
        <row r="71">
          <cell r="A71" t="str">
            <v>Ld197</v>
          </cell>
          <cell r="B71">
            <v>6.5</v>
          </cell>
        </row>
        <row r="72">
          <cell r="A72" t="str">
            <v>Ld198</v>
          </cell>
          <cell r="B72">
            <v>9.4</v>
          </cell>
        </row>
        <row r="73">
          <cell r="A73" t="str">
            <v>Ld199</v>
          </cell>
          <cell r="B73">
            <v>9.8000000000000007</v>
          </cell>
        </row>
        <row r="74">
          <cell r="A74" t="str">
            <v>Ld2</v>
          </cell>
          <cell r="B74">
            <v>7.2</v>
          </cell>
        </row>
        <row r="75">
          <cell r="A75" t="str">
            <v>Ld20</v>
          </cell>
          <cell r="B75">
            <v>6.2</v>
          </cell>
        </row>
        <row r="76">
          <cell r="A76" t="str">
            <v>Ld200</v>
          </cell>
          <cell r="B76">
            <v>7.7</v>
          </cell>
        </row>
        <row r="77">
          <cell r="A77" t="str">
            <v>Ld201</v>
          </cell>
          <cell r="B77">
            <v>5.6</v>
          </cell>
        </row>
        <row r="78">
          <cell r="A78" t="str">
            <v>Ld202</v>
          </cell>
          <cell r="B78">
            <v>7.8</v>
          </cell>
        </row>
        <row r="79">
          <cell r="A79" t="str">
            <v>Ld203</v>
          </cell>
          <cell r="B79">
            <v>5.7</v>
          </cell>
        </row>
        <row r="80">
          <cell r="A80" t="str">
            <v>Ld204</v>
          </cell>
          <cell r="B80">
            <v>12.1</v>
          </cell>
        </row>
        <row r="81">
          <cell r="A81" t="str">
            <v>Ld205</v>
          </cell>
          <cell r="B81">
            <v>8.1</v>
          </cell>
        </row>
        <row r="82">
          <cell r="A82" t="str">
            <v>Ld206</v>
          </cell>
          <cell r="B82">
            <v>5.0999999999999996</v>
          </cell>
        </row>
        <row r="83">
          <cell r="A83" t="str">
            <v>Ld207</v>
          </cell>
          <cell r="B83">
            <v>6.7</v>
          </cell>
        </row>
        <row r="84">
          <cell r="A84" t="str">
            <v>Ld208</v>
          </cell>
          <cell r="B84">
            <v>19.399999999999999</v>
          </cell>
        </row>
        <row r="85">
          <cell r="A85" t="str">
            <v>Ld209</v>
          </cell>
          <cell r="B85">
            <v>65.5</v>
          </cell>
        </row>
        <row r="86">
          <cell r="A86" t="str">
            <v>Ld21</v>
          </cell>
          <cell r="B86">
            <v>5.2</v>
          </cell>
        </row>
        <row r="87">
          <cell r="A87" t="str">
            <v>Ld211</v>
          </cell>
          <cell r="B87">
            <v>45</v>
          </cell>
        </row>
        <row r="88">
          <cell r="A88" t="str">
            <v>Ld214</v>
          </cell>
          <cell r="B88">
            <v>5.3</v>
          </cell>
        </row>
        <row r="89">
          <cell r="A89" t="str">
            <v>Ld215</v>
          </cell>
          <cell r="B89">
            <v>7.1</v>
          </cell>
        </row>
        <row r="90">
          <cell r="A90" t="str">
            <v>Ld216</v>
          </cell>
          <cell r="B90">
            <v>9.6999999999999993</v>
          </cell>
        </row>
        <row r="91">
          <cell r="A91" t="str">
            <v>Ld217</v>
          </cell>
          <cell r="B91">
            <v>25.3</v>
          </cell>
        </row>
        <row r="92">
          <cell r="A92" t="str">
            <v>Ld218</v>
          </cell>
          <cell r="B92">
            <v>49</v>
          </cell>
        </row>
        <row r="93">
          <cell r="A93" t="str">
            <v>Ld22</v>
          </cell>
          <cell r="B93">
            <v>19.600000000000001</v>
          </cell>
        </row>
        <row r="94">
          <cell r="A94" t="str">
            <v>Ld220</v>
          </cell>
          <cell r="B94">
            <v>39.200000000000003</v>
          </cell>
        </row>
        <row r="95">
          <cell r="A95" t="str">
            <v>Ld221</v>
          </cell>
          <cell r="B95">
            <v>15.2</v>
          </cell>
        </row>
        <row r="96">
          <cell r="A96" t="str">
            <v>Ld222</v>
          </cell>
          <cell r="B96">
            <v>15.7</v>
          </cell>
        </row>
        <row r="97">
          <cell r="A97" t="str">
            <v>Ld223</v>
          </cell>
          <cell r="B97">
            <v>25.3</v>
          </cell>
        </row>
        <row r="98">
          <cell r="A98" t="str">
            <v>Ld224</v>
          </cell>
          <cell r="B98">
            <v>19.7</v>
          </cell>
        </row>
        <row r="99">
          <cell r="A99" t="str">
            <v>Ld225</v>
          </cell>
          <cell r="B99">
            <v>6.2</v>
          </cell>
        </row>
        <row r="100">
          <cell r="A100" t="str">
            <v>Ld227</v>
          </cell>
          <cell r="B100">
            <v>13.1</v>
          </cell>
        </row>
        <row r="101">
          <cell r="A101" t="str">
            <v>Ld228</v>
          </cell>
          <cell r="B101">
            <v>17.399999999999999</v>
          </cell>
        </row>
        <row r="102">
          <cell r="A102" t="str">
            <v>Ld229</v>
          </cell>
          <cell r="B102">
            <v>7.9</v>
          </cell>
        </row>
        <row r="103">
          <cell r="A103" t="str">
            <v>Ld23</v>
          </cell>
          <cell r="B103">
            <v>37.6</v>
          </cell>
        </row>
        <row r="104">
          <cell r="A104" t="str">
            <v>Ld231</v>
          </cell>
          <cell r="B104">
            <v>6.3</v>
          </cell>
        </row>
        <row r="105">
          <cell r="A105" t="str">
            <v>Ld232</v>
          </cell>
          <cell r="B105">
            <v>10.8</v>
          </cell>
        </row>
        <row r="106">
          <cell r="A106" t="str">
            <v>Ld234</v>
          </cell>
          <cell r="B106">
            <v>7</v>
          </cell>
        </row>
        <row r="107">
          <cell r="A107" t="str">
            <v>Ld235</v>
          </cell>
          <cell r="B107">
            <v>5.3</v>
          </cell>
        </row>
        <row r="108">
          <cell r="A108" t="str">
            <v>Ld238</v>
          </cell>
          <cell r="B108">
            <v>7.6</v>
          </cell>
        </row>
        <row r="109">
          <cell r="A109" t="str">
            <v>Ld24</v>
          </cell>
          <cell r="B109">
            <v>6.6</v>
          </cell>
        </row>
        <row r="110">
          <cell r="A110" t="str">
            <v>Ld243</v>
          </cell>
          <cell r="B110">
            <v>5</v>
          </cell>
        </row>
        <row r="111">
          <cell r="A111" t="str">
            <v>Ld245</v>
          </cell>
          <cell r="B111">
            <v>7.7</v>
          </cell>
        </row>
        <row r="112">
          <cell r="A112" t="str">
            <v>Ld246</v>
          </cell>
          <cell r="B112">
            <v>9.8000000000000007</v>
          </cell>
        </row>
        <row r="113">
          <cell r="A113" t="str">
            <v>Ld247</v>
          </cell>
          <cell r="B113">
            <v>5.4</v>
          </cell>
        </row>
        <row r="114">
          <cell r="A114" t="str">
            <v>Ld248</v>
          </cell>
          <cell r="B114">
            <v>71</v>
          </cell>
        </row>
        <row r="115">
          <cell r="A115" t="str">
            <v>Ld25</v>
          </cell>
          <cell r="B115">
            <v>4.2</v>
          </cell>
        </row>
        <row r="116">
          <cell r="A116" t="str">
            <v>Ld26</v>
          </cell>
          <cell r="B116">
            <v>4</v>
          </cell>
        </row>
        <row r="117">
          <cell r="A117" t="str">
            <v>Ld27</v>
          </cell>
          <cell r="B117">
            <v>5.2</v>
          </cell>
        </row>
        <row r="118">
          <cell r="A118" t="str">
            <v>Ld281</v>
          </cell>
          <cell r="B118">
            <v>5.3</v>
          </cell>
        </row>
        <row r="119">
          <cell r="A119" t="str">
            <v>Ld3</v>
          </cell>
          <cell r="B119">
            <v>4.3</v>
          </cell>
        </row>
        <row r="120">
          <cell r="A120" t="str">
            <v>Ld319</v>
          </cell>
          <cell r="B120">
            <v>9.4</v>
          </cell>
        </row>
        <row r="121">
          <cell r="A121" t="str">
            <v>Ld320</v>
          </cell>
          <cell r="B121">
            <v>7.8</v>
          </cell>
        </row>
        <row r="122">
          <cell r="A122" t="str">
            <v>Ld323</v>
          </cell>
          <cell r="B122">
            <v>5.2</v>
          </cell>
        </row>
        <row r="123">
          <cell r="A123" t="str">
            <v>Ld33</v>
          </cell>
          <cell r="B123">
            <v>4.0999999999999996</v>
          </cell>
        </row>
        <row r="124">
          <cell r="A124" t="str">
            <v>Ld34</v>
          </cell>
          <cell r="B124">
            <v>4.7</v>
          </cell>
        </row>
        <row r="125">
          <cell r="A125" t="str">
            <v>Ld35</v>
          </cell>
          <cell r="B125">
            <v>9</v>
          </cell>
        </row>
        <row r="126">
          <cell r="A126" t="str">
            <v>Ld36</v>
          </cell>
          <cell r="B126">
            <v>10.8</v>
          </cell>
        </row>
        <row r="127">
          <cell r="A127" t="str">
            <v>Ld37</v>
          </cell>
          <cell r="B127">
            <v>20</v>
          </cell>
        </row>
        <row r="128">
          <cell r="A128" t="str">
            <v>Ld371</v>
          </cell>
          <cell r="B128">
            <v>4.3</v>
          </cell>
        </row>
        <row r="129">
          <cell r="A129" t="str">
            <v>Ld372</v>
          </cell>
          <cell r="B129">
            <v>7.2</v>
          </cell>
        </row>
        <row r="130">
          <cell r="A130" t="str">
            <v>Ld38</v>
          </cell>
          <cell r="B130">
            <v>8.9</v>
          </cell>
        </row>
        <row r="131">
          <cell r="A131" t="str">
            <v>Ld39</v>
          </cell>
          <cell r="B131">
            <v>5.6</v>
          </cell>
        </row>
        <row r="132">
          <cell r="A132" t="str">
            <v>Ld4</v>
          </cell>
          <cell r="B132">
            <v>7.1</v>
          </cell>
        </row>
        <row r="133">
          <cell r="A133" t="str">
            <v>Ld40</v>
          </cell>
          <cell r="B133">
            <v>4.7</v>
          </cell>
        </row>
        <row r="134">
          <cell r="A134" t="str">
            <v>Ld41</v>
          </cell>
          <cell r="B134">
            <v>5</v>
          </cell>
        </row>
        <row r="135">
          <cell r="A135" t="str">
            <v>Ld42</v>
          </cell>
          <cell r="B135">
            <v>6.8</v>
          </cell>
        </row>
        <row r="136">
          <cell r="A136" t="str">
            <v>Ld43</v>
          </cell>
          <cell r="B136">
            <v>4.4000000000000004</v>
          </cell>
        </row>
        <row r="137">
          <cell r="A137" t="str">
            <v>Ld44</v>
          </cell>
          <cell r="B137">
            <v>16.2</v>
          </cell>
        </row>
        <row r="138">
          <cell r="A138" t="str">
            <v>Ld45</v>
          </cell>
          <cell r="B138">
            <v>4.3</v>
          </cell>
        </row>
        <row r="139">
          <cell r="A139" t="str">
            <v>Ld46</v>
          </cell>
          <cell r="B139">
            <v>27.8</v>
          </cell>
        </row>
        <row r="140">
          <cell r="A140" t="str">
            <v>Ld47</v>
          </cell>
          <cell r="B140">
            <v>70</v>
          </cell>
        </row>
        <row r="141">
          <cell r="A141" t="str">
            <v>Ld48</v>
          </cell>
          <cell r="B141">
            <v>5.3</v>
          </cell>
        </row>
        <row r="142">
          <cell r="A142" t="str">
            <v>Ld49</v>
          </cell>
          <cell r="B142">
            <v>9.5</v>
          </cell>
        </row>
        <row r="143">
          <cell r="A143" t="str">
            <v>Ld5</v>
          </cell>
          <cell r="B143">
            <v>4.5</v>
          </cell>
        </row>
        <row r="144">
          <cell r="A144" t="str">
            <v>Ld51</v>
          </cell>
          <cell r="B144">
            <v>4.3</v>
          </cell>
        </row>
        <row r="145">
          <cell r="A145" t="str">
            <v>Ld52</v>
          </cell>
          <cell r="B145">
            <v>8.6</v>
          </cell>
        </row>
        <row r="146">
          <cell r="A146" t="str">
            <v>Ld526</v>
          </cell>
          <cell r="B146">
            <v>11.3</v>
          </cell>
        </row>
        <row r="147">
          <cell r="A147" t="str">
            <v>Ld528</v>
          </cell>
          <cell r="B147">
            <v>14.1</v>
          </cell>
        </row>
        <row r="148">
          <cell r="A148" t="str">
            <v>Ld53</v>
          </cell>
          <cell r="B148">
            <v>23.5</v>
          </cell>
        </row>
        <row r="149">
          <cell r="A149" t="str">
            <v>Ld531</v>
          </cell>
          <cell r="B149">
            <v>4.8</v>
          </cell>
        </row>
        <row r="150">
          <cell r="A150" t="str">
            <v>Ld54</v>
          </cell>
          <cell r="B150">
            <v>5.6</v>
          </cell>
        </row>
        <row r="151">
          <cell r="A151" t="str">
            <v>Ld55</v>
          </cell>
          <cell r="B151">
            <v>4</v>
          </cell>
        </row>
        <row r="152">
          <cell r="A152" t="str">
            <v>Ld552</v>
          </cell>
          <cell r="B152">
            <v>6.6</v>
          </cell>
        </row>
        <row r="153">
          <cell r="A153" t="str">
            <v>Ld57</v>
          </cell>
          <cell r="B153">
            <v>8.8000000000000007</v>
          </cell>
        </row>
        <row r="154">
          <cell r="A154" t="str">
            <v>Ld58</v>
          </cell>
          <cell r="B154">
            <v>7.4</v>
          </cell>
        </row>
        <row r="155">
          <cell r="A155" t="str">
            <v>Ld59</v>
          </cell>
          <cell r="B155">
            <v>13.8</v>
          </cell>
        </row>
        <row r="156">
          <cell r="A156" t="str">
            <v>Ld6</v>
          </cell>
          <cell r="B156">
            <v>9.1999999999999993</v>
          </cell>
        </row>
        <row r="157">
          <cell r="A157" t="str">
            <v>Ld60</v>
          </cell>
          <cell r="B157">
            <v>5.9</v>
          </cell>
        </row>
        <row r="158">
          <cell r="A158" t="str">
            <v>Ld609</v>
          </cell>
          <cell r="B158">
            <v>6.2</v>
          </cell>
        </row>
        <row r="159">
          <cell r="A159" t="str">
            <v>Ld61</v>
          </cell>
          <cell r="B159">
            <v>5.4</v>
          </cell>
        </row>
        <row r="160">
          <cell r="A160" t="str">
            <v>Ld62</v>
          </cell>
          <cell r="B160">
            <v>8.4</v>
          </cell>
        </row>
        <row r="161">
          <cell r="A161" t="str">
            <v>Ld63</v>
          </cell>
          <cell r="B161">
            <v>8.1999999999999993</v>
          </cell>
        </row>
        <row r="162">
          <cell r="A162" t="str">
            <v>Ld69</v>
          </cell>
          <cell r="B162">
            <v>4.8</v>
          </cell>
        </row>
        <row r="163">
          <cell r="A163" t="str">
            <v>Ld7</v>
          </cell>
          <cell r="B163">
            <v>6.1</v>
          </cell>
        </row>
        <row r="164">
          <cell r="A164" t="str">
            <v>Ld70</v>
          </cell>
          <cell r="B164">
            <v>13.3</v>
          </cell>
        </row>
        <row r="165">
          <cell r="A165" t="str">
            <v>Ld7039</v>
          </cell>
          <cell r="B165">
            <v>13.6</v>
          </cell>
        </row>
        <row r="166">
          <cell r="A166" t="str">
            <v>Ld71</v>
          </cell>
          <cell r="B166">
            <v>6.4</v>
          </cell>
        </row>
        <row r="167">
          <cell r="A167" t="str">
            <v>Ld72</v>
          </cell>
          <cell r="B167">
            <v>4.7</v>
          </cell>
        </row>
        <row r="168">
          <cell r="A168" t="str">
            <v>Ld73</v>
          </cell>
          <cell r="B168">
            <v>1</v>
          </cell>
        </row>
        <row r="169">
          <cell r="A169" t="str">
            <v>Ld74</v>
          </cell>
          <cell r="B169">
            <v>4.4000000000000004</v>
          </cell>
        </row>
        <row r="170">
          <cell r="A170" t="str">
            <v>Ld76</v>
          </cell>
          <cell r="B170">
            <v>16.3</v>
          </cell>
        </row>
        <row r="171">
          <cell r="A171" t="str">
            <v>Ld77</v>
          </cell>
          <cell r="B171">
            <v>6.1</v>
          </cell>
        </row>
        <row r="172">
          <cell r="A172" t="str">
            <v>Ld771</v>
          </cell>
          <cell r="B172">
            <v>5.5</v>
          </cell>
        </row>
        <row r="173">
          <cell r="A173" t="str">
            <v>Ld772</v>
          </cell>
          <cell r="B173">
            <v>9.6999999999999993</v>
          </cell>
        </row>
        <row r="174">
          <cell r="A174" t="str">
            <v>Ld78</v>
          </cell>
          <cell r="B174">
            <v>5.8</v>
          </cell>
        </row>
        <row r="175">
          <cell r="A175" t="str">
            <v>Ld789</v>
          </cell>
          <cell r="B175">
            <v>9</v>
          </cell>
        </row>
        <row r="176">
          <cell r="A176" t="str">
            <v>Ld79</v>
          </cell>
          <cell r="B176">
            <v>59.1</v>
          </cell>
        </row>
        <row r="177">
          <cell r="A177" t="str">
            <v>Ld8</v>
          </cell>
          <cell r="B177">
            <v>5</v>
          </cell>
        </row>
        <row r="178">
          <cell r="A178" t="str">
            <v>Ld80</v>
          </cell>
          <cell r="B178">
            <v>4.8</v>
          </cell>
        </row>
        <row r="179">
          <cell r="A179" t="str">
            <v>Ld81</v>
          </cell>
          <cell r="B179">
            <v>6.8</v>
          </cell>
        </row>
        <row r="180">
          <cell r="A180" t="str">
            <v>Ld84</v>
          </cell>
          <cell r="B180">
            <v>48.4</v>
          </cell>
        </row>
        <row r="181">
          <cell r="A181" t="str">
            <v>Ld86</v>
          </cell>
          <cell r="B181">
            <v>4.7</v>
          </cell>
        </row>
        <row r="182">
          <cell r="A182" t="str">
            <v>Ld87</v>
          </cell>
          <cell r="B182">
            <v>9</v>
          </cell>
        </row>
        <row r="183">
          <cell r="A183" t="str">
            <v>Ld88</v>
          </cell>
          <cell r="B183">
            <v>4.0999999999999996</v>
          </cell>
        </row>
        <row r="184">
          <cell r="A184" t="str">
            <v>Ld89</v>
          </cell>
          <cell r="B184">
            <v>51.4</v>
          </cell>
        </row>
        <row r="185">
          <cell r="A185" t="str">
            <v>Ld9</v>
          </cell>
          <cell r="B185">
            <v>28</v>
          </cell>
        </row>
        <row r="186">
          <cell r="A186" t="str">
            <v>Ld90</v>
          </cell>
          <cell r="B186">
            <v>26.5</v>
          </cell>
        </row>
        <row r="187">
          <cell r="A187" t="str">
            <v>Ld9001</v>
          </cell>
          <cell r="B187">
            <v>8.3000000000000007</v>
          </cell>
        </row>
        <row r="188">
          <cell r="A188" t="str">
            <v>Ld91</v>
          </cell>
          <cell r="B188">
            <v>12.9</v>
          </cell>
        </row>
        <row r="189">
          <cell r="A189" t="str">
            <v>Ld92</v>
          </cell>
          <cell r="B189">
            <v>87.4</v>
          </cell>
        </row>
        <row r="190">
          <cell r="A190" t="str">
            <v>Ld94</v>
          </cell>
          <cell r="B190">
            <v>45.6</v>
          </cell>
        </row>
        <row r="191">
          <cell r="A191" t="str">
            <v>Ld97</v>
          </cell>
          <cell r="B191">
            <v>8.1999999999999993</v>
          </cell>
        </row>
        <row r="192">
          <cell r="A192" t="str">
            <v>Ld98</v>
          </cell>
          <cell r="B192">
            <v>33.799999999999997</v>
          </cell>
        </row>
        <row r="193">
          <cell r="A193" t="str">
            <v>Ld99</v>
          </cell>
          <cell r="B193">
            <v>30.9</v>
          </cell>
        </row>
      </sheetData>
      <sheetData sheetId="1"/>
      <sheetData sheetId="2"/>
      <sheetData sheetId="3">
        <row r="1">
          <cell r="A1" t="str">
            <v>name</v>
          </cell>
          <cell r="B1" t="str">
            <v>P</v>
          </cell>
        </row>
        <row r="2">
          <cell r="A2" t="str">
            <v>FW.10</v>
          </cell>
          <cell r="B2">
            <v>0</v>
          </cell>
        </row>
        <row r="3">
          <cell r="A3" t="str">
            <v>FW.13</v>
          </cell>
          <cell r="B3">
            <v>0</v>
          </cell>
        </row>
        <row r="4">
          <cell r="A4" t="str">
            <v>FW.20</v>
          </cell>
          <cell r="B4">
            <v>0</v>
          </cell>
        </row>
        <row r="5">
          <cell r="A5" t="str">
            <v>FW.21</v>
          </cell>
          <cell r="B5">
            <v>0</v>
          </cell>
        </row>
        <row r="6">
          <cell r="A6" t="str">
            <v>FW.7</v>
          </cell>
          <cell r="B6">
            <v>0</v>
          </cell>
        </row>
        <row r="7">
          <cell r="A7" t="str">
            <v>FW.11</v>
          </cell>
          <cell r="B7">
            <v>0</v>
          </cell>
        </row>
        <row r="8">
          <cell r="A8" t="str">
            <v>FW.5</v>
          </cell>
          <cell r="B8">
            <v>0</v>
          </cell>
        </row>
        <row r="9">
          <cell r="A9" t="str">
            <v>FW.6</v>
          </cell>
          <cell r="B9">
            <v>0</v>
          </cell>
        </row>
        <row r="10">
          <cell r="A10" t="str">
            <v>FW.8</v>
          </cell>
          <cell r="B10">
            <v>0</v>
          </cell>
        </row>
        <row r="11">
          <cell r="A11" t="str">
            <v>FW.14</v>
          </cell>
          <cell r="B11">
            <v>0</v>
          </cell>
        </row>
        <row r="12">
          <cell r="A12" t="str">
            <v>FW.2</v>
          </cell>
          <cell r="B12">
            <v>0</v>
          </cell>
        </row>
        <row r="13">
          <cell r="A13" t="str">
            <v>FW.9</v>
          </cell>
          <cell r="B13">
            <v>0</v>
          </cell>
        </row>
        <row r="14">
          <cell r="A14" t="str">
            <v>FW.19</v>
          </cell>
          <cell r="B14">
            <v>0</v>
          </cell>
        </row>
        <row r="15">
          <cell r="A15" t="str">
            <v>FW.22</v>
          </cell>
          <cell r="B15">
            <v>0</v>
          </cell>
        </row>
        <row r="16">
          <cell r="A16" t="str">
            <v>FW.207</v>
          </cell>
          <cell r="B16">
            <v>0</v>
          </cell>
        </row>
        <row r="17">
          <cell r="A17" t="str">
            <v>FW.114</v>
          </cell>
          <cell r="B17">
            <v>0</v>
          </cell>
        </row>
        <row r="18">
          <cell r="A18" t="str">
            <v>FW.27</v>
          </cell>
          <cell r="B18">
            <v>0</v>
          </cell>
        </row>
        <row r="19">
          <cell r="A19" t="str">
            <v>FW.26</v>
          </cell>
          <cell r="B19">
            <v>0</v>
          </cell>
        </row>
        <row r="20">
          <cell r="A20" t="str">
            <v>FW.320</v>
          </cell>
          <cell r="B20">
            <v>0</v>
          </cell>
        </row>
        <row r="21">
          <cell r="A21" t="str">
            <v>FW.25</v>
          </cell>
          <cell r="B21">
            <v>0</v>
          </cell>
        </row>
        <row r="22">
          <cell r="A22" t="str">
            <v>FW.109</v>
          </cell>
          <cell r="B22">
            <v>0</v>
          </cell>
        </row>
        <row r="23">
          <cell r="A23" t="str">
            <v>FW.113</v>
          </cell>
          <cell r="B23">
            <v>0</v>
          </cell>
        </row>
        <row r="24">
          <cell r="A24" t="str">
            <v>FW.24</v>
          </cell>
          <cell r="B24">
            <v>0</v>
          </cell>
        </row>
        <row r="25">
          <cell r="A25" t="str">
            <v>FW.23</v>
          </cell>
          <cell r="B25">
            <v>0</v>
          </cell>
        </row>
        <row r="26">
          <cell r="A26" t="str">
            <v>FW.319</v>
          </cell>
          <cell r="B26">
            <v>0</v>
          </cell>
        </row>
        <row r="27">
          <cell r="A27" t="str">
            <v>FW.70</v>
          </cell>
          <cell r="B27">
            <v>0</v>
          </cell>
        </row>
        <row r="28">
          <cell r="A28" t="str">
            <v>FW.47</v>
          </cell>
          <cell r="B28">
            <v>0</v>
          </cell>
        </row>
        <row r="29">
          <cell r="A29" t="str">
            <v>FW.44</v>
          </cell>
          <cell r="B29">
            <v>0</v>
          </cell>
        </row>
        <row r="30">
          <cell r="A30" t="str">
            <v>FW.71</v>
          </cell>
          <cell r="B30">
            <v>0</v>
          </cell>
        </row>
        <row r="31">
          <cell r="A31" t="str">
            <v>FW.112</v>
          </cell>
          <cell r="B31">
            <v>0</v>
          </cell>
        </row>
        <row r="32">
          <cell r="A32" t="str">
            <v>FW.531</v>
          </cell>
          <cell r="B32">
            <v>0</v>
          </cell>
        </row>
        <row r="33">
          <cell r="A33" t="str">
            <v>FW.80</v>
          </cell>
          <cell r="B33">
            <v>0</v>
          </cell>
        </row>
        <row r="34">
          <cell r="A34" t="str">
            <v>FW.79</v>
          </cell>
          <cell r="B34">
            <v>0</v>
          </cell>
        </row>
        <row r="35">
          <cell r="A35" t="str">
            <v>FW.78</v>
          </cell>
          <cell r="B35">
            <v>0</v>
          </cell>
        </row>
        <row r="36">
          <cell r="A36" t="str">
            <v>FW.72</v>
          </cell>
          <cell r="B36">
            <v>0</v>
          </cell>
        </row>
        <row r="37">
          <cell r="A37" t="str">
            <v>FW.77</v>
          </cell>
          <cell r="B37">
            <v>0</v>
          </cell>
        </row>
        <row r="38">
          <cell r="A38" t="str">
            <v>FW.609</v>
          </cell>
          <cell r="B38">
            <v>0</v>
          </cell>
        </row>
        <row r="39">
          <cell r="A39" t="str">
            <v>FW.771</v>
          </cell>
          <cell r="B39">
            <v>0</v>
          </cell>
        </row>
        <row r="40">
          <cell r="A40" t="str">
            <v>FW.772</v>
          </cell>
          <cell r="B40">
            <v>0</v>
          </cell>
        </row>
        <row r="41">
          <cell r="A41" t="str">
            <v>FW.552</v>
          </cell>
          <cell r="B41">
            <v>0</v>
          </cell>
        </row>
        <row r="42">
          <cell r="A42" t="str">
            <v>FW.76</v>
          </cell>
          <cell r="B42">
            <v>0</v>
          </cell>
        </row>
        <row r="43">
          <cell r="A43" t="str">
            <v>FW.110</v>
          </cell>
          <cell r="B43">
            <v>0</v>
          </cell>
        </row>
        <row r="44">
          <cell r="A44" t="str">
            <v>FW.99</v>
          </cell>
          <cell r="B44">
            <v>0</v>
          </cell>
        </row>
        <row r="45">
          <cell r="A45" t="str">
            <v>FW.104</v>
          </cell>
          <cell r="B45">
            <v>0</v>
          </cell>
        </row>
        <row r="46">
          <cell r="A46" t="str">
            <v>FW.108</v>
          </cell>
          <cell r="B46">
            <v>0</v>
          </cell>
        </row>
        <row r="47">
          <cell r="A47" t="str">
            <v>FW.9001</v>
          </cell>
          <cell r="B47">
            <v>0</v>
          </cell>
        </row>
        <row r="48">
          <cell r="A48" t="str">
            <v>FW.35</v>
          </cell>
          <cell r="B48">
            <v>0</v>
          </cell>
        </row>
        <row r="49">
          <cell r="A49" t="str">
            <v>FW.36</v>
          </cell>
          <cell r="B49">
            <v>0</v>
          </cell>
        </row>
        <row r="50">
          <cell r="A50" t="str">
            <v>FW.45</v>
          </cell>
          <cell r="B50">
            <v>0</v>
          </cell>
        </row>
        <row r="51">
          <cell r="A51" t="str">
            <v>FW.88</v>
          </cell>
          <cell r="B51">
            <v>0</v>
          </cell>
        </row>
        <row r="52">
          <cell r="A52" t="str">
            <v>FW.81</v>
          </cell>
          <cell r="B52">
            <v>0</v>
          </cell>
        </row>
        <row r="53">
          <cell r="A53" t="str">
            <v>FW.4</v>
          </cell>
          <cell r="B53">
            <v>0</v>
          </cell>
        </row>
        <row r="54">
          <cell r="A54" t="str">
            <v>FW.18</v>
          </cell>
          <cell r="B54">
            <v>0</v>
          </cell>
        </row>
        <row r="55">
          <cell r="A55" t="str">
            <v>FW.16</v>
          </cell>
          <cell r="B55">
            <v>0</v>
          </cell>
        </row>
        <row r="56">
          <cell r="A56" t="str">
            <v>FW.89</v>
          </cell>
          <cell r="B56">
            <v>0</v>
          </cell>
        </row>
        <row r="57">
          <cell r="A57" t="str">
            <v>FW.15</v>
          </cell>
          <cell r="B57">
            <v>0</v>
          </cell>
        </row>
        <row r="58">
          <cell r="A58" t="str">
            <v>FW.17</v>
          </cell>
          <cell r="B58">
            <v>0</v>
          </cell>
        </row>
        <row r="59">
          <cell r="A59" t="str">
            <v>FW.97</v>
          </cell>
          <cell r="B59">
            <v>0</v>
          </cell>
        </row>
        <row r="60">
          <cell r="A60" t="str">
            <v>FW.34</v>
          </cell>
          <cell r="B60">
            <v>0</v>
          </cell>
        </row>
        <row r="61">
          <cell r="A61" t="str">
            <v>FW.86</v>
          </cell>
          <cell r="B61">
            <v>0</v>
          </cell>
        </row>
        <row r="62">
          <cell r="A62" t="str">
            <v>FW.41</v>
          </cell>
          <cell r="B62">
            <v>0</v>
          </cell>
        </row>
        <row r="63">
          <cell r="A63" t="str">
            <v>FW.38</v>
          </cell>
          <cell r="B63">
            <v>0</v>
          </cell>
        </row>
        <row r="64">
          <cell r="A64" t="str">
            <v>FW.98</v>
          </cell>
          <cell r="B64">
            <v>0</v>
          </cell>
        </row>
        <row r="65">
          <cell r="A65" t="str">
            <v>FW.103</v>
          </cell>
          <cell r="B65">
            <v>0</v>
          </cell>
        </row>
        <row r="66">
          <cell r="A66" t="str">
            <v>FW.53</v>
          </cell>
          <cell r="B66">
            <v>0</v>
          </cell>
        </row>
        <row r="67">
          <cell r="A67" t="str">
            <v>FW.33</v>
          </cell>
          <cell r="B67">
            <v>0</v>
          </cell>
        </row>
        <row r="68">
          <cell r="A68" t="str">
            <v>FW.43</v>
          </cell>
          <cell r="B68">
            <v>0</v>
          </cell>
        </row>
        <row r="69">
          <cell r="A69" t="str">
            <v>FW.107</v>
          </cell>
          <cell r="B69">
            <v>0</v>
          </cell>
        </row>
        <row r="70">
          <cell r="A70" t="str">
            <v>FW.105</v>
          </cell>
          <cell r="B70">
            <v>0</v>
          </cell>
        </row>
        <row r="71">
          <cell r="A71" t="str">
            <v>FW.48</v>
          </cell>
          <cell r="B71">
            <v>0</v>
          </cell>
        </row>
        <row r="72">
          <cell r="A72" t="str">
            <v>FW.92</v>
          </cell>
          <cell r="B72">
            <v>0</v>
          </cell>
        </row>
        <row r="73">
          <cell r="A73" t="str">
            <v>FW.90</v>
          </cell>
          <cell r="B73">
            <v>0</v>
          </cell>
        </row>
        <row r="74">
          <cell r="A74" t="str">
            <v>FW.37</v>
          </cell>
          <cell r="B74">
            <v>0</v>
          </cell>
        </row>
        <row r="75">
          <cell r="A75" t="str">
            <v>FW.371</v>
          </cell>
          <cell r="B75">
            <v>0</v>
          </cell>
        </row>
        <row r="76">
          <cell r="A76" t="str">
            <v>FW.372</v>
          </cell>
          <cell r="B76">
            <v>0</v>
          </cell>
        </row>
        <row r="77">
          <cell r="A77" t="str">
            <v>FW.201</v>
          </cell>
          <cell r="B77">
            <v>0</v>
          </cell>
        </row>
        <row r="78">
          <cell r="A78" t="str">
            <v>FW.63</v>
          </cell>
          <cell r="B78">
            <v>0</v>
          </cell>
        </row>
        <row r="79">
          <cell r="A79" t="str">
            <v>FW.526</v>
          </cell>
          <cell r="B79">
            <v>0</v>
          </cell>
        </row>
        <row r="80">
          <cell r="A80" t="str">
            <v>FW.57</v>
          </cell>
          <cell r="B80">
            <v>0</v>
          </cell>
        </row>
        <row r="81">
          <cell r="A81" t="str">
            <v>FW.55</v>
          </cell>
          <cell r="B81">
            <v>0</v>
          </cell>
        </row>
        <row r="82">
          <cell r="A82" t="str">
            <v>FW.60</v>
          </cell>
          <cell r="B82">
            <v>0</v>
          </cell>
        </row>
        <row r="83">
          <cell r="A83" t="str">
            <v>FW.87</v>
          </cell>
          <cell r="B83">
            <v>0</v>
          </cell>
        </row>
        <row r="84">
          <cell r="A84" t="str">
            <v>FW.94</v>
          </cell>
          <cell r="B84">
            <v>0</v>
          </cell>
        </row>
        <row r="85">
          <cell r="A85" t="str">
            <v>FW.52</v>
          </cell>
          <cell r="B85">
            <v>0</v>
          </cell>
        </row>
        <row r="86">
          <cell r="A86" t="str">
            <v>FW.58</v>
          </cell>
          <cell r="B86">
            <v>0</v>
          </cell>
        </row>
        <row r="87">
          <cell r="A87" t="str">
            <v>FW.61</v>
          </cell>
          <cell r="B87">
            <v>0</v>
          </cell>
        </row>
        <row r="88">
          <cell r="A88" t="str">
            <v>FW.62</v>
          </cell>
          <cell r="B88">
            <v>0</v>
          </cell>
        </row>
        <row r="89">
          <cell r="A89" t="str">
            <v>FW.51</v>
          </cell>
          <cell r="B89">
            <v>0</v>
          </cell>
        </row>
        <row r="90">
          <cell r="A90" t="str">
            <v>FW.49</v>
          </cell>
          <cell r="B90">
            <v>0</v>
          </cell>
        </row>
        <row r="91">
          <cell r="A91" t="str">
            <v>FW.54</v>
          </cell>
          <cell r="B91">
            <v>0</v>
          </cell>
        </row>
        <row r="92">
          <cell r="A92" t="str">
            <v>FW.323</v>
          </cell>
          <cell r="B92">
            <v>0</v>
          </cell>
        </row>
        <row r="93">
          <cell r="A93" t="str">
            <v>FW.100</v>
          </cell>
          <cell r="B93">
            <v>0</v>
          </cell>
        </row>
        <row r="94">
          <cell r="A94" t="str">
            <v>FW.39</v>
          </cell>
          <cell r="B94">
            <v>0</v>
          </cell>
        </row>
        <row r="95">
          <cell r="A95" t="str">
            <v>FW.7039</v>
          </cell>
          <cell r="B95">
            <v>0</v>
          </cell>
        </row>
        <row r="96">
          <cell r="A96" t="str">
            <v>FW.91</v>
          </cell>
          <cell r="B96">
            <v>0</v>
          </cell>
        </row>
        <row r="97">
          <cell r="A97" t="str">
            <v>FW.1</v>
          </cell>
          <cell r="B97">
            <v>0</v>
          </cell>
        </row>
        <row r="98">
          <cell r="A98" t="str">
            <v>FW.73</v>
          </cell>
          <cell r="B98">
            <v>0</v>
          </cell>
        </row>
        <row r="99">
          <cell r="A99" t="str">
            <v>FW.84</v>
          </cell>
          <cell r="B99">
            <v>0</v>
          </cell>
        </row>
        <row r="100">
          <cell r="A100" t="str">
            <v>FW.528</v>
          </cell>
          <cell r="B100">
            <v>0</v>
          </cell>
        </row>
        <row r="101">
          <cell r="A101" t="str">
            <v>FW.40</v>
          </cell>
          <cell r="B101">
            <v>0</v>
          </cell>
        </row>
        <row r="102">
          <cell r="A102" t="str">
            <v>FW.144</v>
          </cell>
          <cell r="B102">
            <v>0</v>
          </cell>
        </row>
        <row r="103">
          <cell r="A103" t="str">
            <v>FW.59</v>
          </cell>
          <cell r="B103">
            <v>0</v>
          </cell>
        </row>
        <row r="104">
          <cell r="A104" t="str">
            <v>FW.42</v>
          </cell>
          <cell r="B104">
            <v>0</v>
          </cell>
        </row>
        <row r="105">
          <cell r="A105" t="str">
            <v>FW.69</v>
          </cell>
          <cell r="B105">
            <v>0</v>
          </cell>
        </row>
        <row r="106">
          <cell r="A106" t="str">
            <v>FW.102</v>
          </cell>
          <cell r="B106">
            <v>0</v>
          </cell>
        </row>
        <row r="107">
          <cell r="A107" t="str">
            <v>FW.3</v>
          </cell>
          <cell r="B107">
            <v>0</v>
          </cell>
        </row>
        <row r="108">
          <cell r="A108" t="str">
            <v>FW.46</v>
          </cell>
          <cell r="B108">
            <v>0</v>
          </cell>
        </row>
        <row r="109">
          <cell r="A109" t="str">
            <v>ES104</v>
          </cell>
          <cell r="B109">
            <v>0</v>
          </cell>
        </row>
        <row r="110">
          <cell r="A110" t="str">
            <v>ES105</v>
          </cell>
          <cell r="B110">
            <v>0</v>
          </cell>
        </row>
        <row r="111">
          <cell r="A111" t="str">
            <v>ES11</v>
          </cell>
          <cell r="B111">
            <v>0</v>
          </cell>
        </row>
        <row r="112">
          <cell r="A112" t="str">
            <v>ES113</v>
          </cell>
          <cell r="B112">
            <v>0</v>
          </cell>
        </row>
        <row r="113">
          <cell r="A113" t="str">
            <v>ES17</v>
          </cell>
          <cell r="B113">
            <v>0</v>
          </cell>
        </row>
        <row r="114">
          <cell r="A114" t="str">
            <v>ES23</v>
          </cell>
          <cell r="B114">
            <v>0</v>
          </cell>
        </row>
        <row r="115">
          <cell r="A115" t="str">
            <v>ES24</v>
          </cell>
          <cell r="B115">
            <v>0</v>
          </cell>
        </row>
        <row r="116">
          <cell r="A116" t="str">
            <v>ES3</v>
          </cell>
          <cell r="B116">
            <v>0</v>
          </cell>
        </row>
        <row r="117">
          <cell r="A117" t="str">
            <v>ES33</v>
          </cell>
          <cell r="B117">
            <v>0</v>
          </cell>
        </row>
        <row r="118">
          <cell r="A118" t="str">
            <v>ES36</v>
          </cell>
          <cell r="B118">
            <v>0</v>
          </cell>
        </row>
        <row r="119">
          <cell r="A119" t="str">
            <v>ES37</v>
          </cell>
          <cell r="B119">
            <v>0</v>
          </cell>
        </row>
        <row r="120">
          <cell r="A120" t="str">
            <v>ES371</v>
          </cell>
          <cell r="B120">
            <v>0</v>
          </cell>
        </row>
        <row r="121">
          <cell r="A121" t="str">
            <v>ES4</v>
          </cell>
          <cell r="B121">
            <v>0</v>
          </cell>
        </row>
        <row r="122">
          <cell r="A122" t="str">
            <v>ES42</v>
          </cell>
          <cell r="B122">
            <v>0</v>
          </cell>
        </row>
        <row r="123">
          <cell r="A123" t="str">
            <v>ES49</v>
          </cell>
          <cell r="B123">
            <v>0</v>
          </cell>
        </row>
        <row r="124">
          <cell r="A124" t="str">
            <v>ES5</v>
          </cell>
          <cell r="B124">
            <v>0</v>
          </cell>
        </row>
        <row r="125">
          <cell r="A125" t="str">
            <v>ES54</v>
          </cell>
          <cell r="B125">
            <v>0</v>
          </cell>
        </row>
        <row r="126">
          <cell r="A126" t="str">
            <v>ES55</v>
          </cell>
          <cell r="B126">
            <v>0</v>
          </cell>
        </row>
        <row r="127">
          <cell r="A127" t="str">
            <v>ES63</v>
          </cell>
          <cell r="B127">
            <v>0</v>
          </cell>
        </row>
        <row r="128">
          <cell r="A128" t="str">
            <v>ES69</v>
          </cell>
          <cell r="B128">
            <v>0</v>
          </cell>
        </row>
        <row r="129">
          <cell r="A129" t="str">
            <v>ES7</v>
          </cell>
          <cell r="B129">
            <v>0</v>
          </cell>
        </row>
        <row r="130">
          <cell r="A130" t="str">
            <v>ES74</v>
          </cell>
          <cell r="B130">
            <v>0</v>
          </cell>
        </row>
        <row r="131">
          <cell r="A131" t="str">
            <v>ES77</v>
          </cell>
          <cell r="B131">
            <v>0</v>
          </cell>
        </row>
        <row r="132">
          <cell r="A132" t="str">
            <v>ES8</v>
          </cell>
          <cell r="B132">
            <v>0</v>
          </cell>
        </row>
        <row r="133">
          <cell r="A133" t="str">
            <v>ES84</v>
          </cell>
          <cell r="B133">
            <v>0</v>
          </cell>
        </row>
        <row r="134">
          <cell r="A134" t="str">
            <v>ES110</v>
          </cell>
          <cell r="B134">
            <v>0</v>
          </cell>
        </row>
        <row r="135">
          <cell r="A135" t="str">
            <v>GenSta1</v>
          </cell>
          <cell r="B135">
            <v>40.200000000000003</v>
          </cell>
        </row>
        <row r="136">
          <cell r="A136" t="str">
            <v>GenSta10</v>
          </cell>
          <cell r="B136">
            <v>30.5</v>
          </cell>
        </row>
        <row r="137">
          <cell r="A137" t="str">
            <v>GenSta108</v>
          </cell>
          <cell r="B137">
            <v>42.8</v>
          </cell>
        </row>
        <row r="138">
          <cell r="A138" t="str">
            <v>GenSta11</v>
          </cell>
          <cell r="B138">
            <v>22.9</v>
          </cell>
        </row>
        <row r="139">
          <cell r="A139" t="str">
            <v>GenSta17</v>
          </cell>
          <cell r="B139">
            <v>18.3</v>
          </cell>
        </row>
        <row r="140">
          <cell r="A140" t="str">
            <v>GenSta2</v>
          </cell>
          <cell r="B140">
            <v>36.9</v>
          </cell>
        </row>
        <row r="141">
          <cell r="A141" t="str">
            <v>GenSta20</v>
          </cell>
          <cell r="B141">
            <v>30.9</v>
          </cell>
        </row>
        <row r="142">
          <cell r="A142" t="str">
            <v>GenSta23</v>
          </cell>
          <cell r="B142">
            <v>11.2</v>
          </cell>
        </row>
        <row r="143">
          <cell r="A143" t="str">
            <v>GenSta24</v>
          </cell>
          <cell r="B143">
            <v>70.8</v>
          </cell>
        </row>
        <row r="144">
          <cell r="A144" t="str">
            <v>GenSta3</v>
          </cell>
          <cell r="B144">
            <v>143.5</v>
          </cell>
        </row>
        <row r="145">
          <cell r="A145" t="str">
            <v>GenSta372</v>
          </cell>
          <cell r="B145">
            <v>22.3</v>
          </cell>
        </row>
        <row r="146">
          <cell r="A146" t="str">
            <v>GenSta44</v>
          </cell>
          <cell r="B146">
            <v>26.8</v>
          </cell>
        </row>
        <row r="147">
          <cell r="A147" t="str">
            <v>GenSta45</v>
          </cell>
          <cell r="B147">
            <v>37.5</v>
          </cell>
        </row>
        <row r="148">
          <cell r="A148" t="str">
            <v>GenSta49</v>
          </cell>
          <cell r="B148">
            <v>53.3</v>
          </cell>
        </row>
        <row r="149">
          <cell r="A149" t="str">
            <v>GenSta55</v>
          </cell>
          <cell r="B149">
            <v>62</v>
          </cell>
        </row>
        <row r="150">
          <cell r="A150" t="str">
            <v>GenSta57</v>
          </cell>
          <cell r="B150">
            <v>18.899999999999999</v>
          </cell>
        </row>
        <row r="151">
          <cell r="A151" t="str">
            <v>GenSta61</v>
          </cell>
          <cell r="B151">
            <v>8</v>
          </cell>
        </row>
        <row r="152">
          <cell r="A152" t="str">
            <v>GenSta62</v>
          </cell>
          <cell r="B152">
            <v>229.8</v>
          </cell>
        </row>
        <row r="153">
          <cell r="A153" t="str">
            <v>GenSta63</v>
          </cell>
          <cell r="B153">
            <v>33.799999999999997</v>
          </cell>
        </row>
        <row r="154">
          <cell r="A154" t="str">
            <v>GenSta7039</v>
          </cell>
          <cell r="B154">
            <v>28.3</v>
          </cell>
        </row>
        <row r="155">
          <cell r="A155" t="str">
            <v>GenSta71</v>
          </cell>
          <cell r="B155">
            <v>63.4</v>
          </cell>
        </row>
        <row r="156">
          <cell r="A156" t="str">
            <v>GenSta76</v>
          </cell>
          <cell r="B156">
            <v>63.5</v>
          </cell>
        </row>
        <row r="157">
          <cell r="A157" t="str">
            <v>GenSta772</v>
          </cell>
          <cell r="B157">
            <v>40.6</v>
          </cell>
        </row>
        <row r="158">
          <cell r="A158" t="str">
            <v>GenSta8</v>
          </cell>
          <cell r="B158">
            <v>31.7</v>
          </cell>
        </row>
        <row r="159">
          <cell r="A159" t="str">
            <v>GenSta84</v>
          </cell>
          <cell r="B159">
            <v>77</v>
          </cell>
        </row>
        <row r="160">
          <cell r="A160" t="str">
            <v>GenSta9001</v>
          </cell>
          <cell r="B160">
            <v>96.7</v>
          </cell>
        </row>
        <row r="161">
          <cell r="A161" t="str">
            <v>GenSta91</v>
          </cell>
          <cell r="B161">
            <v>41.5</v>
          </cell>
        </row>
        <row r="162">
          <cell r="A162" t="str">
            <v>GenSta92</v>
          </cell>
          <cell r="B162">
            <v>1.2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193"/>
  <sheetViews>
    <sheetView topLeftCell="A22" workbookViewId="0">
      <selection activeCell="D172" sqref="D172"/>
    </sheetView>
  </sheetViews>
  <sheetFormatPr defaultRowHeight="15" x14ac:dyDescent="0.25"/>
  <sheetData>
    <row r="1" spans="1:211" x14ac:dyDescent="0.25">
      <c r="A1" s="1" t="s">
        <v>0</v>
      </c>
      <c r="B1" s="1" t="s">
        <v>1</v>
      </c>
      <c r="C1" s="1" t="s">
        <v>2</v>
      </c>
      <c r="K1" t="s">
        <v>537</v>
      </c>
      <c r="Q1" t="s">
        <v>554</v>
      </c>
      <c r="U1" t="s">
        <v>555</v>
      </c>
      <c r="AO1" s="3"/>
      <c r="AX1" s="3"/>
      <c r="BI1" s="3"/>
      <c r="BR1" s="3"/>
      <c r="BY1" s="3"/>
      <c r="CH1" s="3"/>
      <c r="GT1" s="3"/>
      <c r="HC1" s="3"/>
    </row>
    <row r="2" spans="1:211" x14ac:dyDescent="0.25">
      <c r="A2" t="s">
        <v>194</v>
      </c>
      <c r="B2">
        <f>_xlfn.XLOOKUP(A2,'Do podmianki'!A:A,'Do podmianki'!B:B,K2)</f>
        <v>6.7</v>
      </c>
      <c r="C2">
        <f>_xlfn.XLOOKUP(A2,'Do podmianki'!B:B,'Do podmianki'!C:C,L2)</f>
        <v>1.1000000000000001</v>
      </c>
      <c r="K2">
        <v>6.7</v>
      </c>
      <c r="L2">
        <v>1.1000000000000001</v>
      </c>
      <c r="Q2">
        <v>6.7</v>
      </c>
      <c r="R2">
        <v>1.1000000000000001</v>
      </c>
      <c r="U2">
        <v>12.285377</v>
      </c>
      <c r="V2">
        <v>1.1000000000000001</v>
      </c>
    </row>
    <row r="3" spans="1:211" x14ac:dyDescent="0.25">
      <c r="A3" t="s">
        <v>3</v>
      </c>
      <c r="B3">
        <f>_xlfn.XLOOKUP(A3,'Do podmianki'!A:A,'Do podmianki'!B:B,K3)</f>
        <v>7.5</v>
      </c>
      <c r="C3">
        <f>_xlfn.XLOOKUP(A3,'Do podmianki'!B:B,'Do podmianki'!C:C,L3)</f>
        <v>1.7</v>
      </c>
      <c r="K3">
        <v>7.5</v>
      </c>
      <c r="L3">
        <v>1.7</v>
      </c>
      <c r="Q3">
        <v>7.5</v>
      </c>
      <c r="R3">
        <v>1.7</v>
      </c>
      <c r="U3">
        <v>20.20262</v>
      </c>
      <c r="V3">
        <v>1.7</v>
      </c>
    </row>
    <row r="4" spans="1:211" x14ac:dyDescent="0.25">
      <c r="A4" t="s">
        <v>4</v>
      </c>
      <c r="B4">
        <f>_xlfn.XLOOKUP(A4,'Do podmianki'!A:A,'Do podmianki'!B:B,K4)</f>
        <v>12.4</v>
      </c>
      <c r="C4">
        <f>_xlfn.XLOOKUP(A4,'Do podmianki'!B:B,'Do podmianki'!C:C,L4)</f>
        <v>0.9</v>
      </c>
      <c r="K4">
        <v>12.4</v>
      </c>
      <c r="L4">
        <v>0.9</v>
      </c>
      <c r="Q4">
        <v>12.4</v>
      </c>
      <c r="R4">
        <v>0.9</v>
      </c>
      <c r="U4">
        <v>10.6200259999999</v>
      </c>
      <c r="V4">
        <v>0.9</v>
      </c>
    </row>
    <row r="5" spans="1:211" x14ac:dyDescent="0.25">
      <c r="A5" t="s">
        <v>5</v>
      </c>
      <c r="B5">
        <f>_xlfn.XLOOKUP(A5,'Do podmianki'!A:A,'Do podmianki'!B:B,K5)</f>
        <v>6.3</v>
      </c>
      <c r="C5">
        <f>_xlfn.XLOOKUP(A5,'Do podmianki'!B:B,'Do podmianki'!C:C,L5)</f>
        <v>0.4</v>
      </c>
      <c r="K5">
        <v>6.3</v>
      </c>
      <c r="L5">
        <v>0.4</v>
      </c>
      <c r="Q5">
        <v>6.3</v>
      </c>
      <c r="R5">
        <v>0.4</v>
      </c>
      <c r="U5">
        <v>4.3681340000000004</v>
      </c>
      <c r="V5">
        <v>0.4</v>
      </c>
    </row>
    <row r="6" spans="1:211" x14ac:dyDescent="0.25">
      <c r="A6" t="s">
        <v>6</v>
      </c>
      <c r="B6">
        <f>_xlfn.XLOOKUP(A6,'Do podmianki'!A:A,'Do podmianki'!B:B,K6)</f>
        <v>4.8</v>
      </c>
      <c r="C6">
        <f>_xlfn.XLOOKUP(A6,'Do podmianki'!B:B,'Do podmianki'!C:C,L6)</f>
        <v>0.1</v>
      </c>
      <c r="K6">
        <v>4.8</v>
      </c>
      <c r="L6">
        <v>0.1</v>
      </c>
      <c r="Q6">
        <v>4.8</v>
      </c>
      <c r="R6">
        <v>0.1</v>
      </c>
      <c r="U6">
        <v>1.3650420000000001</v>
      </c>
      <c r="V6">
        <v>0.1</v>
      </c>
    </row>
    <row r="7" spans="1:211" x14ac:dyDescent="0.25">
      <c r="A7" t="s">
        <v>7</v>
      </c>
      <c r="B7">
        <f>_xlfn.XLOOKUP(A7,'Do podmianki'!A:A,'Do podmianki'!B:B,K7)</f>
        <v>8.3000000000000007</v>
      </c>
      <c r="C7">
        <f>_xlfn.XLOOKUP(A7,'Do podmianki'!B:B,'Do podmianki'!C:C,L7)</f>
        <v>0.6</v>
      </c>
      <c r="K7">
        <v>8.3000000000000007</v>
      </c>
      <c r="L7">
        <v>0.6</v>
      </c>
      <c r="Q7">
        <v>8.3000000000000007</v>
      </c>
      <c r="R7">
        <v>0.6</v>
      </c>
      <c r="U7">
        <v>6.770607</v>
      </c>
      <c r="V7">
        <v>0.6</v>
      </c>
    </row>
    <row r="8" spans="1:211" x14ac:dyDescent="0.25">
      <c r="A8" t="s">
        <v>8</v>
      </c>
      <c r="B8">
        <f>_xlfn.XLOOKUP(A8,'Do podmianki'!A:A,'Do podmianki'!B:B,K8)</f>
        <v>4.2</v>
      </c>
      <c r="C8">
        <f>_xlfn.XLOOKUP(A8,'Do podmianki'!B:B,'Do podmianki'!C:C,L8)</f>
        <v>0.1</v>
      </c>
      <c r="K8">
        <v>4.2</v>
      </c>
      <c r="L8">
        <v>0.1</v>
      </c>
      <c r="Q8">
        <v>4.2</v>
      </c>
      <c r="R8">
        <v>0.1</v>
      </c>
      <c r="U8">
        <v>0.627919</v>
      </c>
      <c r="V8">
        <v>0.1</v>
      </c>
    </row>
    <row r="9" spans="1:211" x14ac:dyDescent="0.25">
      <c r="A9" t="s">
        <v>9</v>
      </c>
      <c r="B9">
        <f>_xlfn.XLOOKUP(A9,'Do podmianki'!A:A,'Do podmianki'!B:B,K9)</f>
        <v>11.6</v>
      </c>
      <c r="C9">
        <f>_xlfn.XLOOKUP(A9,'Do podmianki'!B:B,'Do podmianki'!C:C,L9)</f>
        <v>1.6</v>
      </c>
      <c r="K9">
        <v>11.6</v>
      </c>
      <c r="L9">
        <v>1.6</v>
      </c>
      <c r="Q9">
        <v>11.6</v>
      </c>
      <c r="R9">
        <v>1.6</v>
      </c>
      <c r="U9">
        <v>18.673773000000001</v>
      </c>
      <c r="V9">
        <v>1.6</v>
      </c>
    </row>
    <row r="10" spans="1:211" x14ac:dyDescent="0.25">
      <c r="A10" t="s">
        <v>10</v>
      </c>
      <c r="B10">
        <f>_xlfn.XLOOKUP(A10,'Do podmianki'!A:A,'Do podmianki'!B:B,K10)</f>
        <v>8.1999999999999993</v>
      </c>
      <c r="C10">
        <f>_xlfn.XLOOKUP(A10,'Do podmianki'!B:B,'Do podmianki'!C:C,L10)</f>
        <v>0.4</v>
      </c>
      <c r="K10">
        <v>8.1999999999999993</v>
      </c>
      <c r="L10">
        <v>0.4</v>
      </c>
      <c r="Q10">
        <v>8.1999999999999993</v>
      </c>
      <c r="R10">
        <v>0.4</v>
      </c>
      <c r="U10">
        <v>4.1906790000000003</v>
      </c>
      <c r="V10">
        <v>0.4</v>
      </c>
    </row>
    <row r="11" spans="1:211" x14ac:dyDescent="0.25">
      <c r="A11" t="s">
        <v>11</v>
      </c>
      <c r="B11">
        <f>_xlfn.XLOOKUP(A11,'Do podmianki'!A:A,'Do podmianki'!B:B,K11)</f>
        <v>10</v>
      </c>
      <c r="C11">
        <f>_xlfn.XLOOKUP(A11,'Do podmianki'!B:B,'Do podmianki'!C:C,L11)</f>
        <v>1</v>
      </c>
      <c r="K11">
        <v>10</v>
      </c>
      <c r="L11">
        <v>1</v>
      </c>
      <c r="Q11">
        <v>10</v>
      </c>
      <c r="R11">
        <v>1</v>
      </c>
      <c r="U11">
        <v>11.3298469999999</v>
      </c>
      <c r="V11">
        <v>1</v>
      </c>
    </row>
    <row r="12" spans="1:211" x14ac:dyDescent="0.25">
      <c r="A12" t="s">
        <v>12</v>
      </c>
      <c r="B12">
        <f>_xlfn.XLOOKUP(A12,'Do podmianki'!A:A,'Do podmianki'!B:B,K12)</f>
        <v>8.3000000000000007</v>
      </c>
      <c r="C12">
        <f>_xlfn.XLOOKUP(A12,'Do podmianki'!B:B,'Do podmianki'!C:C,L12)</f>
        <v>0.7</v>
      </c>
      <c r="K12">
        <v>8.3000000000000007</v>
      </c>
      <c r="L12">
        <v>0.7</v>
      </c>
      <c r="Q12">
        <v>8.3000000000000007</v>
      </c>
      <c r="R12">
        <v>0.7</v>
      </c>
      <c r="U12">
        <v>8.5997640000000004</v>
      </c>
      <c r="V12">
        <v>0.7</v>
      </c>
    </row>
    <row r="13" spans="1:211" x14ac:dyDescent="0.25">
      <c r="A13" t="s">
        <v>13</v>
      </c>
      <c r="B13">
        <f>_xlfn.XLOOKUP(A13,'Do podmianki'!A:A,'Do podmianki'!B:B,K13)</f>
        <v>6</v>
      </c>
      <c r="C13">
        <f>_xlfn.XLOOKUP(A13,'Do podmianki'!B:B,'Do podmianki'!C:C,L13)</f>
        <v>0.2</v>
      </c>
      <c r="K13">
        <v>6</v>
      </c>
      <c r="L13">
        <v>0.2</v>
      </c>
      <c r="Q13">
        <v>6</v>
      </c>
      <c r="R13">
        <v>0.2</v>
      </c>
      <c r="U13">
        <v>2.6754820000000001</v>
      </c>
      <c r="V13">
        <v>0.2</v>
      </c>
    </row>
    <row r="14" spans="1:211" x14ac:dyDescent="0.25">
      <c r="A14" t="s">
        <v>14</v>
      </c>
      <c r="B14">
        <f>_xlfn.XLOOKUP(A14,'Do podmianki'!A:A,'Do podmianki'!B:B,K14)</f>
        <v>4</v>
      </c>
      <c r="C14">
        <f>_xlfn.XLOOKUP(A14,'Do podmianki'!B:B,'Do podmianki'!C:C,L14)</f>
        <v>0.3</v>
      </c>
      <c r="K14">
        <v>4</v>
      </c>
      <c r="L14">
        <v>0.3</v>
      </c>
      <c r="Q14">
        <v>4</v>
      </c>
      <c r="R14">
        <v>0.3</v>
      </c>
      <c r="U14">
        <v>8.8973040000000001</v>
      </c>
      <c r="V14">
        <v>0.3</v>
      </c>
    </row>
    <row r="15" spans="1:211" x14ac:dyDescent="0.25">
      <c r="A15" t="s">
        <v>15</v>
      </c>
      <c r="B15">
        <f>_xlfn.XLOOKUP(A15,'Do podmianki'!A:A,'Do podmianki'!B:B,K15)</f>
        <v>6.4</v>
      </c>
      <c r="C15">
        <f>_xlfn.XLOOKUP(A15,'Do podmianki'!B:B,'Do podmianki'!C:C,L15)</f>
        <v>0.2</v>
      </c>
      <c r="K15">
        <v>6.4</v>
      </c>
      <c r="L15">
        <v>0.2</v>
      </c>
      <c r="Q15">
        <v>6.4</v>
      </c>
      <c r="R15">
        <v>0.2</v>
      </c>
      <c r="U15">
        <v>2.4843760000000001</v>
      </c>
      <c r="V15">
        <v>0.2</v>
      </c>
    </row>
    <row r="16" spans="1:211" x14ac:dyDescent="0.25">
      <c r="A16" t="s">
        <v>16</v>
      </c>
      <c r="B16">
        <f>_xlfn.XLOOKUP(A16,'Do podmianki'!A:A,'Do podmianki'!B:B,K16)</f>
        <v>4.5</v>
      </c>
      <c r="C16">
        <f>_xlfn.XLOOKUP(A16,'Do podmianki'!B:B,'Do podmianki'!C:C,L16)</f>
        <v>0.2</v>
      </c>
      <c r="K16">
        <v>4.5</v>
      </c>
      <c r="L16">
        <v>0.2</v>
      </c>
      <c r="Q16">
        <v>4.5</v>
      </c>
      <c r="R16">
        <v>0.2</v>
      </c>
      <c r="U16">
        <v>1.924709</v>
      </c>
      <c r="V16">
        <v>0.2</v>
      </c>
    </row>
    <row r="17" spans="1:22" x14ac:dyDescent="0.25">
      <c r="A17" t="s">
        <v>17</v>
      </c>
      <c r="B17">
        <f>_xlfn.XLOOKUP(A17,'Do podmianki'!A:A,'Do podmianki'!B:B,K17)</f>
        <v>5</v>
      </c>
      <c r="C17">
        <f>_xlfn.XLOOKUP(A17,'Do podmianki'!B:B,'Do podmianki'!C:C,L17)</f>
        <v>0.2</v>
      </c>
      <c r="K17">
        <v>5</v>
      </c>
      <c r="L17">
        <v>0.2</v>
      </c>
      <c r="Q17">
        <v>5</v>
      </c>
      <c r="R17">
        <v>0.2</v>
      </c>
      <c r="U17">
        <v>2.6754820000000001</v>
      </c>
      <c r="V17">
        <v>0.2</v>
      </c>
    </row>
    <row r="18" spans="1:22" x14ac:dyDescent="0.25">
      <c r="A18" t="s">
        <v>18</v>
      </c>
      <c r="B18">
        <f>_xlfn.XLOOKUP(A18,'Do podmianki'!A:A,'Do podmianki'!B:B,K18)</f>
        <v>10.199999999999999</v>
      </c>
      <c r="C18">
        <f>_xlfn.XLOOKUP(A18,'Do podmianki'!B:B,'Do podmianki'!C:C,L18)</f>
        <v>0.3</v>
      </c>
      <c r="K18">
        <v>10.199999999999999</v>
      </c>
      <c r="L18">
        <v>0.3</v>
      </c>
      <c r="Q18">
        <v>10.199999999999999</v>
      </c>
      <c r="R18">
        <v>0.3</v>
      </c>
      <c r="U18">
        <v>3.5764100000000001</v>
      </c>
      <c r="V18">
        <v>0.3</v>
      </c>
    </row>
    <row r="19" spans="1:22" x14ac:dyDescent="0.25">
      <c r="A19" t="s">
        <v>19</v>
      </c>
      <c r="B19">
        <f>_xlfn.XLOOKUP(A19,'Do podmianki'!A:A,'Do podmianki'!B:B,K19)</f>
        <v>90</v>
      </c>
      <c r="C19">
        <f>_xlfn.XLOOKUP(A19,'Do podmianki'!B:B,'Do podmianki'!C:C,L19)</f>
        <v>6.3</v>
      </c>
      <c r="K19">
        <v>90</v>
      </c>
      <c r="L19">
        <v>6.3</v>
      </c>
      <c r="Q19">
        <v>90</v>
      </c>
      <c r="R19">
        <v>6.3</v>
      </c>
      <c r="U19">
        <v>73.029739000000006</v>
      </c>
      <c r="V19">
        <v>6.3</v>
      </c>
    </row>
    <row r="20" spans="1:22" x14ac:dyDescent="0.25">
      <c r="A20" t="s">
        <v>20</v>
      </c>
      <c r="B20">
        <f>_xlfn.XLOOKUP(A20,'Do podmianki'!A:A,'Do podmianki'!B:B,K20)</f>
        <v>26.2</v>
      </c>
      <c r="C20">
        <f>_xlfn.XLOOKUP(A20,'Do podmianki'!B:B,'Do podmianki'!C:C,L20)</f>
        <v>0.9</v>
      </c>
      <c r="K20">
        <v>26.2</v>
      </c>
      <c r="L20">
        <v>0.9</v>
      </c>
      <c r="Q20">
        <v>26.200001</v>
      </c>
      <c r="R20">
        <v>0.9</v>
      </c>
      <c r="U20">
        <v>10.647326</v>
      </c>
      <c r="V20">
        <v>0.9</v>
      </c>
    </row>
    <row r="21" spans="1:22" x14ac:dyDescent="0.25">
      <c r="A21" t="s">
        <v>21</v>
      </c>
      <c r="B21">
        <f>_xlfn.XLOOKUP(A21,'Do podmianki'!A:A,'Do podmianki'!B:B,K21)</f>
        <v>32</v>
      </c>
      <c r="C21">
        <f>_xlfn.XLOOKUP(A21,'Do podmianki'!B:B,'Do podmianki'!C:C,L21)</f>
        <v>3.2</v>
      </c>
      <c r="K21">
        <v>32</v>
      </c>
      <c r="L21">
        <v>3.2</v>
      </c>
      <c r="Q21">
        <v>32</v>
      </c>
      <c r="R21">
        <v>3.2</v>
      </c>
      <c r="U21">
        <v>37.729754999999898</v>
      </c>
      <c r="V21">
        <v>3.2</v>
      </c>
    </row>
    <row r="22" spans="1:22" x14ac:dyDescent="0.25">
      <c r="A22" t="s">
        <v>22</v>
      </c>
      <c r="B22">
        <f>_xlfn.XLOOKUP(A22,'Do podmianki'!A:A,'Do podmianki'!B:B,K22)</f>
        <v>8</v>
      </c>
      <c r="C22">
        <f>_xlfn.XLOOKUP(A22,'Do podmianki'!B:B,'Do podmianki'!C:C,L22)</f>
        <v>0.7</v>
      </c>
      <c r="K22">
        <v>8</v>
      </c>
      <c r="L22">
        <v>0.7</v>
      </c>
      <c r="Q22">
        <v>8</v>
      </c>
      <c r="R22">
        <v>0.7</v>
      </c>
      <c r="U22">
        <v>7.9035919999999997</v>
      </c>
      <c r="V22">
        <v>0.7</v>
      </c>
    </row>
    <row r="23" spans="1:22" x14ac:dyDescent="0.25">
      <c r="A23" t="s">
        <v>23</v>
      </c>
      <c r="B23">
        <f>_xlfn.XLOOKUP(A23,'Do podmianki'!A:A,'Do podmianki'!B:B,K23)</f>
        <v>113</v>
      </c>
      <c r="C23">
        <f>_xlfn.XLOOKUP(A23,'Do podmianki'!B:B,'Do podmianki'!C:C,L23)</f>
        <v>4.5</v>
      </c>
      <c r="K23">
        <v>113</v>
      </c>
      <c r="L23">
        <v>4.5</v>
      </c>
      <c r="Q23">
        <v>113</v>
      </c>
      <c r="R23">
        <v>4.5</v>
      </c>
      <c r="U23">
        <v>51.980792999999899</v>
      </c>
      <c r="V23">
        <v>4.5</v>
      </c>
    </row>
    <row r="24" spans="1:22" x14ac:dyDescent="0.25">
      <c r="A24" t="s">
        <v>24</v>
      </c>
      <c r="B24">
        <f>_xlfn.XLOOKUP(A24,'Do podmianki'!A:A,'Do podmianki'!B:B,K24)</f>
        <v>7.5</v>
      </c>
      <c r="C24">
        <f>_xlfn.XLOOKUP(A24,'Do podmianki'!B:B,'Do podmianki'!C:C,L24)</f>
        <v>0.7</v>
      </c>
      <c r="K24">
        <v>7.5</v>
      </c>
      <c r="L24">
        <v>0.7</v>
      </c>
      <c r="Q24">
        <v>7.5</v>
      </c>
      <c r="R24">
        <v>0.7</v>
      </c>
      <c r="U24">
        <v>7.917243</v>
      </c>
      <c r="V24">
        <v>0.7</v>
      </c>
    </row>
    <row r="25" spans="1:22" x14ac:dyDescent="0.25">
      <c r="A25" t="s">
        <v>25</v>
      </c>
      <c r="B25">
        <f>_xlfn.XLOOKUP(A25,'Do podmianki'!A:A,'Do podmianki'!B:B,K25)</f>
        <v>9.6999999999999993</v>
      </c>
      <c r="C25">
        <f>_xlfn.XLOOKUP(A25,'Do podmianki'!B:B,'Do podmianki'!C:C,L25)</f>
        <v>2</v>
      </c>
      <c r="K25">
        <v>9.6999999999999993</v>
      </c>
      <c r="L25">
        <v>2</v>
      </c>
      <c r="Q25">
        <v>9.6999999999999993</v>
      </c>
      <c r="R25">
        <v>2</v>
      </c>
      <c r="U25">
        <v>23.096508</v>
      </c>
      <c r="V25">
        <v>2</v>
      </c>
    </row>
    <row r="26" spans="1:22" x14ac:dyDescent="0.25">
      <c r="A26" t="s">
        <v>26</v>
      </c>
      <c r="B26">
        <f>_xlfn.XLOOKUP(A26,'Do podmianki'!A:A,'Do podmianki'!B:B,K26)</f>
        <v>14</v>
      </c>
      <c r="C26">
        <f>_xlfn.XLOOKUP(A26,'Do podmianki'!B:B,'Do podmianki'!C:C,L26)</f>
        <v>0.6</v>
      </c>
      <c r="K26">
        <v>14</v>
      </c>
      <c r="L26">
        <v>0.6</v>
      </c>
      <c r="Q26">
        <v>14</v>
      </c>
      <c r="R26">
        <v>0.6</v>
      </c>
      <c r="U26">
        <v>7.535031</v>
      </c>
      <c r="V26">
        <v>0.6</v>
      </c>
    </row>
    <row r="27" spans="1:22" x14ac:dyDescent="0.25">
      <c r="A27" t="s">
        <v>27</v>
      </c>
      <c r="B27">
        <f>_xlfn.XLOOKUP(A27,'Do podmianki'!A:A,'Do podmianki'!B:B,K27)</f>
        <v>88.2</v>
      </c>
      <c r="C27">
        <f>_xlfn.XLOOKUP(A27,'Do podmianki'!B:B,'Do podmianki'!C:C,L27)</f>
        <v>3.2</v>
      </c>
      <c r="K27">
        <v>88.2</v>
      </c>
      <c r="L27">
        <v>3.2</v>
      </c>
      <c r="Q27">
        <v>88.199996999999996</v>
      </c>
      <c r="R27">
        <v>3.2</v>
      </c>
      <c r="U27">
        <v>37.347546000000001</v>
      </c>
      <c r="V27">
        <v>3.2</v>
      </c>
    </row>
    <row r="28" spans="1:22" x14ac:dyDescent="0.25">
      <c r="A28" t="s">
        <v>28</v>
      </c>
      <c r="B28">
        <f>_xlfn.XLOOKUP(A28,'Do podmianki'!A:A,'Do podmianki'!B:B,K28)</f>
        <v>125</v>
      </c>
      <c r="C28">
        <f>_xlfn.XLOOKUP(A28,'Do podmianki'!B:B,'Do podmianki'!C:C,L28)</f>
        <v>9.6999999999999993</v>
      </c>
      <c r="K28">
        <v>125</v>
      </c>
      <c r="L28">
        <v>9.6999999999999993</v>
      </c>
      <c r="Q28">
        <v>225</v>
      </c>
      <c r="R28">
        <v>9.6999999999999993</v>
      </c>
      <c r="U28" s="3">
        <v>112.848007</v>
      </c>
      <c r="V28">
        <v>9.6999999999999904</v>
      </c>
    </row>
    <row r="29" spans="1:22" x14ac:dyDescent="0.25">
      <c r="A29" t="s">
        <v>29</v>
      </c>
      <c r="B29">
        <f>_xlfn.XLOOKUP(A29,'Do podmianki'!A:A,'Do podmianki'!B:B,K29)</f>
        <v>26.5</v>
      </c>
      <c r="C29">
        <f>_xlfn.XLOOKUP(A29,'Do podmianki'!B:B,'Do podmianki'!C:C,L29)</f>
        <v>7</v>
      </c>
      <c r="K29">
        <v>26.5</v>
      </c>
      <c r="L29">
        <v>7</v>
      </c>
      <c r="Q29">
        <v>26.5</v>
      </c>
      <c r="R29">
        <v>7</v>
      </c>
      <c r="U29">
        <v>81.219986000000006</v>
      </c>
      <c r="V29">
        <v>7</v>
      </c>
    </row>
    <row r="30" spans="1:22" x14ac:dyDescent="0.25">
      <c r="A30" t="s">
        <v>30</v>
      </c>
      <c r="B30">
        <f>_xlfn.XLOOKUP(A30,'Do podmianki'!A:A,'Do podmianki'!B:B,K30)</f>
        <v>33</v>
      </c>
      <c r="C30">
        <f>_xlfn.XLOOKUP(A30,'Do podmianki'!B:B,'Do podmianki'!C:C,L30)</f>
        <v>1.9</v>
      </c>
      <c r="K30">
        <v>33</v>
      </c>
      <c r="L30">
        <v>1.9</v>
      </c>
      <c r="Q30">
        <v>33</v>
      </c>
      <c r="R30">
        <v>1.9</v>
      </c>
      <c r="U30">
        <v>11.8406699999999</v>
      </c>
      <c r="V30">
        <v>1.9</v>
      </c>
    </row>
    <row r="31" spans="1:22" x14ac:dyDescent="0.25">
      <c r="A31" t="s">
        <v>31</v>
      </c>
      <c r="B31">
        <f>_xlfn.XLOOKUP(A31,'Do podmianki'!A:A,'Do podmianki'!B:B,K31)</f>
        <v>51.6</v>
      </c>
      <c r="C31">
        <f>_xlfn.XLOOKUP(A31,'Do podmianki'!B:B,'Do podmianki'!C:C,L31)</f>
        <v>4.5</v>
      </c>
      <c r="K31">
        <v>51.6</v>
      </c>
      <c r="L31">
        <v>4.5</v>
      </c>
      <c r="Q31">
        <v>51.599997999999999</v>
      </c>
      <c r="R31">
        <v>4.5</v>
      </c>
      <c r="U31">
        <v>52.922671999999899</v>
      </c>
      <c r="V31">
        <v>4.5</v>
      </c>
    </row>
    <row r="32" spans="1:22" x14ac:dyDescent="0.25">
      <c r="A32" t="s">
        <v>32</v>
      </c>
      <c r="B32">
        <f>_xlfn.XLOOKUP(A32,'Do podmianki'!A:A,'Do podmianki'!B:B,K32)</f>
        <v>38.700000000000003</v>
      </c>
      <c r="C32">
        <f>_xlfn.XLOOKUP(A32,'Do podmianki'!B:B,'Do podmianki'!C:C,L32)</f>
        <v>1.7</v>
      </c>
      <c r="K32">
        <v>38.700000000000003</v>
      </c>
      <c r="L32">
        <v>1.7</v>
      </c>
      <c r="Q32">
        <v>38.700001</v>
      </c>
      <c r="R32">
        <v>1.7</v>
      </c>
      <c r="U32">
        <v>19.793106000000002</v>
      </c>
      <c r="V32">
        <v>1.7</v>
      </c>
    </row>
    <row r="33" spans="1:22" x14ac:dyDescent="0.25">
      <c r="A33" t="s">
        <v>33</v>
      </c>
      <c r="B33">
        <f>_xlfn.XLOOKUP(A33,'Do podmianki'!A:A,'Do podmianki'!B:B,K33)</f>
        <v>22</v>
      </c>
      <c r="C33">
        <f>_xlfn.XLOOKUP(A33,'Do podmianki'!B:B,'Do podmianki'!C:C,L33)</f>
        <v>0.7</v>
      </c>
      <c r="K33">
        <v>22</v>
      </c>
      <c r="L33">
        <v>0.7</v>
      </c>
      <c r="Q33">
        <v>22</v>
      </c>
      <c r="R33">
        <v>0.7</v>
      </c>
      <c r="U33">
        <v>7.7124860000000002</v>
      </c>
      <c r="V33">
        <v>0.7</v>
      </c>
    </row>
    <row r="34" spans="1:22" x14ac:dyDescent="0.25">
      <c r="A34" t="s">
        <v>34</v>
      </c>
      <c r="B34">
        <f>_xlfn.XLOOKUP(A34,'Do podmianki'!A:A,'Do podmianki'!B:B,K34)</f>
        <v>28.5</v>
      </c>
      <c r="C34">
        <f>_xlfn.XLOOKUP(A34,'Do podmianki'!B:B,'Do podmianki'!C:C,L34)</f>
        <v>1</v>
      </c>
      <c r="K34">
        <v>28.5</v>
      </c>
      <c r="L34">
        <v>1</v>
      </c>
      <c r="Q34">
        <v>28.5</v>
      </c>
      <c r="R34">
        <v>1</v>
      </c>
      <c r="U34">
        <v>12.217124</v>
      </c>
      <c r="V34">
        <v>1</v>
      </c>
    </row>
    <row r="35" spans="1:22" x14ac:dyDescent="0.25">
      <c r="A35" t="s">
        <v>35</v>
      </c>
      <c r="B35">
        <f>_xlfn.XLOOKUP(A35,'Do podmianki'!A:A,'Do podmianki'!B:B,K35)</f>
        <v>9.8000000000000007</v>
      </c>
      <c r="C35">
        <f>_xlfn.XLOOKUP(A35,'Do podmianki'!B:B,'Do podmianki'!C:C,L35)</f>
        <v>0.3</v>
      </c>
      <c r="K35">
        <v>9.8000000000000007</v>
      </c>
      <c r="L35">
        <v>0.3</v>
      </c>
      <c r="Q35">
        <v>9.8000000000000007</v>
      </c>
      <c r="R35">
        <v>0.3</v>
      </c>
      <c r="U35">
        <v>3.2761</v>
      </c>
      <c r="V35">
        <v>0.3</v>
      </c>
    </row>
    <row r="36" spans="1:22" x14ac:dyDescent="0.25">
      <c r="A36" t="s">
        <v>36</v>
      </c>
      <c r="B36">
        <f>_xlfn.XLOOKUP(A36,'Do podmianki'!A:A,'Do podmianki'!B:B,K36)</f>
        <v>10.4</v>
      </c>
      <c r="C36">
        <f>_xlfn.XLOOKUP(A36,'Do podmianki'!B:B,'Do podmianki'!C:C,L36)</f>
        <v>0.7</v>
      </c>
      <c r="K36">
        <v>10.4</v>
      </c>
      <c r="L36">
        <v>0.7</v>
      </c>
      <c r="Q36">
        <v>10.4</v>
      </c>
      <c r="R36">
        <v>0.7</v>
      </c>
      <c r="U36">
        <v>8.5997640000000004</v>
      </c>
      <c r="V36">
        <v>0.7</v>
      </c>
    </row>
    <row r="37" spans="1:22" x14ac:dyDescent="0.25">
      <c r="A37" t="s">
        <v>37</v>
      </c>
      <c r="B37">
        <f>_xlfn.XLOOKUP(A37,'Do podmianki'!A:A,'Do podmianki'!B:B,K37)</f>
        <v>27.8</v>
      </c>
      <c r="C37">
        <f>_xlfn.XLOOKUP(A37,'Do podmianki'!B:B,'Do podmianki'!C:C,L37)</f>
        <v>1.5</v>
      </c>
      <c r="K37">
        <v>27.8</v>
      </c>
      <c r="L37">
        <v>1.5</v>
      </c>
      <c r="Q37">
        <v>27.799999</v>
      </c>
      <c r="R37">
        <v>1.5</v>
      </c>
      <c r="U37">
        <v>17.295079999999899</v>
      </c>
      <c r="V37">
        <v>1.5</v>
      </c>
    </row>
    <row r="38" spans="1:22" x14ac:dyDescent="0.25">
      <c r="A38" t="s">
        <v>38</v>
      </c>
      <c r="B38">
        <f>_xlfn.XLOOKUP(A38,'Do podmianki'!A:A,'Do podmianki'!B:B,K38)</f>
        <v>5.2</v>
      </c>
      <c r="C38">
        <f>_xlfn.XLOOKUP(A38,'Do podmianki'!B:B,'Do podmianki'!C:C,L38)</f>
        <v>0.2</v>
      </c>
      <c r="K38">
        <v>5.2</v>
      </c>
      <c r="L38">
        <v>0.2</v>
      </c>
      <c r="Q38">
        <v>5.2</v>
      </c>
      <c r="R38">
        <v>0.2</v>
      </c>
      <c r="U38">
        <v>2.3205710000000002</v>
      </c>
      <c r="V38">
        <v>0.2</v>
      </c>
    </row>
    <row r="39" spans="1:22" x14ac:dyDescent="0.25">
      <c r="A39" t="s">
        <v>39</v>
      </c>
      <c r="B39">
        <f>_xlfn.XLOOKUP(A39,'Do podmianki'!A:A,'Do podmianki'!B:B,K39)</f>
        <v>13.3</v>
      </c>
      <c r="C39">
        <f>_xlfn.XLOOKUP(A39,'Do podmianki'!B:B,'Do podmianki'!C:C,L39)</f>
        <v>0.8</v>
      </c>
      <c r="K39">
        <v>13.3</v>
      </c>
      <c r="L39">
        <v>0.8</v>
      </c>
      <c r="Q39">
        <v>13.3</v>
      </c>
      <c r="R39">
        <v>0.8</v>
      </c>
      <c r="U39">
        <v>14.26369</v>
      </c>
      <c r="V39">
        <v>0.8</v>
      </c>
    </row>
    <row r="40" spans="1:22" x14ac:dyDescent="0.25">
      <c r="A40" t="s">
        <v>40</v>
      </c>
      <c r="B40">
        <f>_xlfn.XLOOKUP(A40,'Do podmianki'!A:A,'Do podmianki'!B:B,K40)</f>
        <v>38.700000000000003</v>
      </c>
      <c r="C40">
        <f>_xlfn.XLOOKUP(A40,'Do podmianki'!B:B,'Do podmianki'!C:C,L40)</f>
        <v>2.2999999999999998</v>
      </c>
      <c r="K40">
        <v>38.700000000000003</v>
      </c>
      <c r="L40">
        <v>2.2999999999999998</v>
      </c>
      <c r="Q40">
        <v>38.700001</v>
      </c>
      <c r="R40">
        <v>2.2999999999999998</v>
      </c>
      <c r="U40">
        <v>27.300837000000001</v>
      </c>
      <c r="V40">
        <v>2.2999999999999998</v>
      </c>
    </row>
    <row r="41" spans="1:22" x14ac:dyDescent="0.25">
      <c r="A41" t="s">
        <v>41</v>
      </c>
      <c r="B41">
        <f>_xlfn.XLOOKUP(A41,'Do podmianki'!A:A,'Do podmianki'!B:B,K41)</f>
        <v>11</v>
      </c>
      <c r="C41">
        <f>_xlfn.XLOOKUP(A41,'Do podmianki'!B:B,'Do podmianki'!C:C,L41)</f>
        <v>0.9</v>
      </c>
      <c r="K41">
        <v>11</v>
      </c>
      <c r="L41">
        <v>0.9</v>
      </c>
      <c r="Q41">
        <v>11</v>
      </c>
      <c r="R41">
        <v>0.9</v>
      </c>
      <c r="U41">
        <v>10.237814</v>
      </c>
      <c r="V41">
        <v>0.9</v>
      </c>
    </row>
    <row r="42" spans="1:22" x14ac:dyDescent="0.25">
      <c r="A42" t="s">
        <v>42</v>
      </c>
      <c r="B42">
        <f>_xlfn.XLOOKUP(A42,'Do podmianki'!A:A,'Do podmianki'!B:B,K42)</f>
        <v>29.2</v>
      </c>
      <c r="C42">
        <f>_xlfn.XLOOKUP(A42,'Do podmianki'!B:B,'Do podmianki'!C:C,L42)</f>
        <v>1.4</v>
      </c>
      <c r="K42">
        <v>29.2</v>
      </c>
      <c r="L42">
        <v>1.4</v>
      </c>
      <c r="Q42">
        <v>29.200001</v>
      </c>
      <c r="R42">
        <v>1.4</v>
      </c>
      <c r="U42">
        <v>16.858267000000001</v>
      </c>
      <c r="V42">
        <v>1.4</v>
      </c>
    </row>
    <row r="43" spans="1:22" x14ac:dyDescent="0.25">
      <c r="A43" t="s">
        <v>43</v>
      </c>
      <c r="B43">
        <f>_xlfn.XLOOKUP(A43,'Do podmianki'!A:A,'Do podmianki'!B:B,K43)</f>
        <v>10.5</v>
      </c>
      <c r="C43">
        <f>_xlfn.XLOOKUP(A43,'Do podmianki'!B:B,'Do podmianki'!C:C,L43)</f>
        <v>0.4</v>
      </c>
      <c r="K43">
        <v>10.5</v>
      </c>
      <c r="L43">
        <v>0.4</v>
      </c>
      <c r="Q43">
        <v>10.5</v>
      </c>
      <c r="R43">
        <v>0.4</v>
      </c>
      <c r="U43">
        <v>4.5046379999999999</v>
      </c>
      <c r="V43">
        <v>0.4</v>
      </c>
    </row>
    <row r="44" spans="1:22" x14ac:dyDescent="0.25">
      <c r="A44" t="s">
        <v>44</v>
      </c>
      <c r="B44">
        <f>_xlfn.XLOOKUP(A44,'Do podmianki'!A:A,'Do podmianki'!B:B,K44)</f>
        <v>11.8</v>
      </c>
      <c r="C44">
        <f>_xlfn.XLOOKUP(A44,'Do podmianki'!B:B,'Do podmianki'!C:C,L44)</f>
        <v>0.4</v>
      </c>
      <c r="K44">
        <v>11.8</v>
      </c>
      <c r="L44">
        <v>0.4</v>
      </c>
      <c r="Q44">
        <v>11.8</v>
      </c>
      <c r="R44">
        <v>0.4</v>
      </c>
      <c r="U44">
        <v>4.777647</v>
      </c>
      <c r="V44">
        <v>0.4</v>
      </c>
    </row>
    <row r="45" spans="1:22" x14ac:dyDescent="0.25">
      <c r="A45" t="s">
        <v>45</v>
      </c>
      <c r="B45">
        <f>_xlfn.XLOOKUP(A45,'Do podmianki'!A:A,'Do podmianki'!B:B,K45)</f>
        <v>5</v>
      </c>
      <c r="C45">
        <f>_xlfn.XLOOKUP(A45,'Do podmianki'!B:B,'Do podmianki'!C:C,L45)</f>
        <v>0</v>
      </c>
      <c r="K45">
        <v>5</v>
      </c>
      <c r="L45">
        <v>0</v>
      </c>
      <c r="Q45">
        <v>5</v>
      </c>
      <c r="R45">
        <v>0</v>
      </c>
      <c r="U45">
        <v>0</v>
      </c>
      <c r="V45">
        <v>0</v>
      </c>
    </row>
    <row r="46" spans="1:22" x14ac:dyDescent="0.25">
      <c r="A46" t="s">
        <v>46</v>
      </c>
      <c r="B46">
        <f>_xlfn.XLOOKUP(A46,'Do podmianki'!A:A,'Do podmianki'!B:B,K46)</f>
        <v>13.3</v>
      </c>
      <c r="C46">
        <f>_xlfn.XLOOKUP(A46,'Do podmianki'!B:B,'Do podmianki'!C:C,L46)</f>
        <v>3.5</v>
      </c>
      <c r="K46">
        <v>13.3</v>
      </c>
      <c r="L46">
        <v>3.5</v>
      </c>
      <c r="Q46">
        <v>13.3</v>
      </c>
      <c r="R46">
        <v>3.5</v>
      </c>
      <c r="U46">
        <v>40.937603000000003</v>
      </c>
      <c r="V46">
        <v>3.5</v>
      </c>
    </row>
    <row r="47" spans="1:22" x14ac:dyDescent="0.25">
      <c r="A47" t="s">
        <v>47</v>
      </c>
      <c r="B47">
        <f>_xlfn.XLOOKUP(A47,'Do podmianki'!A:A,'Do podmianki'!B:B,K47)</f>
        <v>118.5</v>
      </c>
      <c r="C47">
        <f>_xlfn.XLOOKUP(A47,'Do podmianki'!B:B,'Do podmianki'!C:C,L47)</f>
        <v>6.6</v>
      </c>
      <c r="K47">
        <v>118.5</v>
      </c>
      <c r="L47">
        <v>6.6</v>
      </c>
      <c r="Q47">
        <v>118.5</v>
      </c>
      <c r="R47">
        <v>6.6</v>
      </c>
      <c r="U47">
        <v>76.578850000000003</v>
      </c>
      <c r="V47">
        <v>6.6</v>
      </c>
    </row>
    <row r="48" spans="1:22" x14ac:dyDescent="0.25">
      <c r="A48" t="s">
        <v>48</v>
      </c>
      <c r="B48">
        <f>_xlfn.XLOOKUP(A48,'Do podmianki'!A:A,'Do podmianki'!B:B,K48)</f>
        <v>34.5</v>
      </c>
      <c r="C48">
        <f>_xlfn.XLOOKUP(A48,'Do podmianki'!B:B,'Do podmianki'!C:C,L48)</f>
        <v>8.9</v>
      </c>
      <c r="K48">
        <v>34.5</v>
      </c>
      <c r="L48">
        <v>8.9</v>
      </c>
      <c r="Q48">
        <v>34.5</v>
      </c>
      <c r="R48">
        <v>8.9</v>
      </c>
      <c r="U48" s="3">
        <v>104.234596</v>
      </c>
      <c r="V48">
        <v>8.9</v>
      </c>
    </row>
    <row r="49" spans="1:22" x14ac:dyDescent="0.25">
      <c r="A49" t="s">
        <v>49</v>
      </c>
      <c r="B49">
        <f>_xlfn.XLOOKUP(A49,'Do podmianki'!A:A,'Do podmianki'!B:B,K49)</f>
        <v>42.5</v>
      </c>
      <c r="C49">
        <f>_xlfn.XLOOKUP(A49,'Do podmianki'!B:B,'Do podmianki'!C:C,L49)</f>
        <v>1.9</v>
      </c>
      <c r="K49">
        <v>42.5</v>
      </c>
      <c r="L49">
        <v>1.9</v>
      </c>
      <c r="Q49">
        <v>42.5</v>
      </c>
      <c r="R49">
        <v>1.9</v>
      </c>
      <c r="U49">
        <v>22.318434</v>
      </c>
      <c r="V49">
        <v>1.9</v>
      </c>
    </row>
    <row r="50" spans="1:22" x14ac:dyDescent="0.25">
      <c r="A50" t="s">
        <v>50</v>
      </c>
      <c r="B50">
        <f>_xlfn.XLOOKUP(A50,'Do podmianki'!A:A,'Do podmianki'!B:B,K50)</f>
        <v>12.7</v>
      </c>
      <c r="C50">
        <f>_xlfn.XLOOKUP(A50,'Do podmianki'!B:B,'Do podmianki'!C:C,L50)</f>
        <v>2.1</v>
      </c>
      <c r="K50">
        <v>12.7</v>
      </c>
      <c r="L50">
        <v>2.1</v>
      </c>
      <c r="Q50">
        <v>12.7</v>
      </c>
      <c r="R50">
        <v>2.1</v>
      </c>
      <c r="U50">
        <v>24.024736000000001</v>
      </c>
      <c r="V50">
        <v>2.1</v>
      </c>
    </row>
    <row r="51" spans="1:22" x14ac:dyDescent="0.25">
      <c r="A51" t="s">
        <v>51</v>
      </c>
      <c r="B51">
        <f>_xlfn.XLOOKUP(A51,'Do podmianki'!A:A,'Do podmianki'!B:B,K51)</f>
        <v>5.8</v>
      </c>
      <c r="C51">
        <f>_xlfn.XLOOKUP(A51,'Do podmianki'!B:B,'Do podmianki'!C:C,L51)</f>
        <v>0.1</v>
      </c>
      <c r="K51">
        <v>5.8</v>
      </c>
      <c r="L51">
        <v>0.1</v>
      </c>
      <c r="Q51">
        <v>5.8</v>
      </c>
      <c r="R51">
        <v>0.1</v>
      </c>
      <c r="U51">
        <v>0.68252100000000004</v>
      </c>
      <c r="V51">
        <v>0.1</v>
      </c>
    </row>
    <row r="52" spans="1:22" x14ac:dyDescent="0.25">
      <c r="A52" t="s">
        <v>52</v>
      </c>
      <c r="B52">
        <f>_xlfn.XLOOKUP(A52,'Do podmianki'!A:A,'Do podmianki'!B:B,K52)</f>
        <v>14.2</v>
      </c>
      <c r="C52">
        <f>_xlfn.XLOOKUP(A52,'Do podmianki'!B:B,'Do podmianki'!C:C,L52)</f>
        <v>0.3</v>
      </c>
      <c r="K52">
        <v>14.2</v>
      </c>
      <c r="L52">
        <v>0.3</v>
      </c>
      <c r="Q52">
        <v>14.2</v>
      </c>
      <c r="R52">
        <v>0.3</v>
      </c>
      <c r="U52">
        <v>3.822117</v>
      </c>
      <c r="V52">
        <v>0.3</v>
      </c>
    </row>
    <row r="53" spans="1:22" x14ac:dyDescent="0.25">
      <c r="A53" t="s">
        <v>53</v>
      </c>
      <c r="B53">
        <f>_xlfn.XLOOKUP(A53,'Do podmianki'!A:A,'Do podmianki'!B:B,K53)</f>
        <v>24.2</v>
      </c>
      <c r="C53">
        <f>_xlfn.XLOOKUP(A53,'Do podmianki'!B:B,'Do podmianki'!C:C,L53)</f>
        <v>5</v>
      </c>
      <c r="K53">
        <v>24.2</v>
      </c>
      <c r="L53">
        <v>5</v>
      </c>
      <c r="Q53">
        <v>24.200001</v>
      </c>
      <c r="R53">
        <v>5</v>
      </c>
      <c r="U53">
        <v>8.3418899999999905</v>
      </c>
      <c r="V53">
        <v>5</v>
      </c>
    </row>
    <row r="54" spans="1:22" x14ac:dyDescent="0.25">
      <c r="A54" t="s">
        <v>54</v>
      </c>
      <c r="B54">
        <f>_xlfn.XLOOKUP(A54,'Do podmianki'!A:A,'Do podmianki'!B:B,K54)</f>
        <v>26.5</v>
      </c>
      <c r="C54">
        <f>_xlfn.XLOOKUP(A54,'Do podmianki'!B:B,'Do podmianki'!C:C,L54)</f>
        <v>0.9</v>
      </c>
      <c r="K54">
        <v>26.5</v>
      </c>
      <c r="L54">
        <v>0.9</v>
      </c>
      <c r="Q54">
        <v>26.5</v>
      </c>
      <c r="R54">
        <v>0.9</v>
      </c>
      <c r="U54">
        <v>10.10131</v>
      </c>
      <c r="V54">
        <v>0.9</v>
      </c>
    </row>
    <row r="55" spans="1:22" x14ac:dyDescent="0.25">
      <c r="A55" t="s">
        <v>55</v>
      </c>
      <c r="B55">
        <f>_xlfn.XLOOKUP(A55,'Do podmianki'!A:A,'Do podmianki'!B:B,K55)</f>
        <v>21</v>
      </c>
      <c r="C55">
        <f>_xlfn.XLOOKUP(A55,'Do podmianki'!B:B,'Do podmianki'!C:C,L55)</f>
        <v>0.8</v>
      </c>
      <c r="K55">
        <v>21</v>
      </c>
      <c r="L55">
        <v>0.8</v>
      </c>
      <c r="Q55">
        <v>21</v>
      </c>
      <c r="R55">
        <v>0.8</v>
      </c>
      <c r="U55">
        <v>9.4870409999999996</v>
      </c>
      <c r="V55">
        <v>0.8</v>
      </c>
    </row>
    <row r="56" spans="1:22" x14ac:dyDescent="0.25">
      <c r="A56" t="s">
        <v>56</v>
      </c>
      <c r="B56">
        <f>_xlfn.XLOOKUP(A56,'Do podmianki'!A:A,'Do podmianki'!B:B,K56)</f>
        <v>19</v>
      </c>
      <c r="C56">
        <f>_xlfn.XLOOKUP(A56,'Do podmianki'!B:B,'Do podmianki'!C:C,L56)</f>
        <v>0.9</v>
      </c>
      <c r="K56">
        <v>19</v>
      </c>
      <c r="L56">
        <v>0.9</v>
      </c>
      <c r="Q56">
        <v>19</v>
      </c>
      <c r="R56">
        <v>0.9</v>
      </c>
      <c r="U56">
        <v>10.0194069999999</v>
      </c>
      <c r="V56">
        <v>0.9</v>
      </c>
    </row>
    <row r="57" spans="1:22" x14ac:dyDescent="0.25">
      <c r="A57" t="s">
        <v>57</v>
      </c>
      <c r="B57">
        <f>_xlfn.XLOOKUP(A57,'Do podmianki'!A:A,'Do podmianki'!B:B,K57)</f>
        <v>7</v>
      </c>
      <c r="C57">
        <f>_xlfn.XLOOKUP(A57,'Do podmianki'!B:B,'Do podmianki'!C:C,L57)</f>
        <v>2.8</v>
      </c>
      <c r="K57">
        <v>7</v>
      </c>
      <c r="L57">
        <v>2.8</v>
      </c>
      <c r="Q57">
        <v>7</v>
      </c>
      <c r="R57">
        <v>2.8</v>
      </c>
      <c r="U57">
        <v>32.856555999999898</v>
      </c>
      <c r="V57">
        <v>2.8</v>
      </c>
    </row>
    <row r="58" spans="1:22" x14ac:dyDescent="0.25">
      <c r="A58" t="s">
        <v>58</v>
      </c>
      <c r="B58">
        <f>_xlfn.XLOOKUP(A58,'Do podmianki'!A:A,'Do podmianki'!B:B,K58)</f>
        <v>8.1</v>
      </c>
      <c r="C58">
        <f>_xlfn.XLOOKUP(A58,'Do podmianki'!B:B,'Do podmianki'!C:C,L58)</f>
        <v>0.5</v>
      </c>
      <c r="K58">
        <v>8.1</v>
      </c>
      <c r="L58">
        <v>0.5</v>
      </c>
      <c r="Q58">
        <v>8.1</v>
      </c>
      <c r="R58">
        <v>0.5</v>
      </c>
      <c r="U58">
        <v>5.4601670000000002</v>
      </c>
      <c r="V58">
        <v>0.5</v>
      </c>
    </row>
    <row r="59" spans="1:22" x14ac:dyDescent="0.25">
      <c r="A59" t="s">
        <v>59</v>
      </c>
      <c r="B59">
        <f>_xlfn.XLOOKUP(A59,'Do podmianki'!A:A,'Do podmianki'!B:B,K59)</f>
        <v>12</v>
      </c>
      <c r="C59">
        <f>_xlfn.XLOOKUP(A59,'Do podmianki'!B:B,'Do podmianki'!C:C,L59)</f>
        <v>1.6</v>
      </c>
      <c r="K59">
        <v>12</v>
      </c>
      <c r="L59">
        <v>1.6</v>
      </c>
      <c r="Q59">
        <v>12</v>
      </c>
      <c r="R59">
        <v>1.6</v>
      </c>
      <c r="U59">
        <v>18.673773000000001</v>
      </c>
      <c r="V59">
        <v>1.6</v>
      </c>
    </row>
    <row r="60" spans="1:22" x14ac:dyDescent="0.25">
      <c r="A60" t="s">
        <v>60</v>
      </c>
      <c r="B60">
        <f>_xlfn.XLOOKUP(A60,'Do podmianki'!A:A,'Do podmianki'!B:B,K60)</f>
        <v>8.8000000000000007</v>
      </c>
      <c r="C60">
        <f>_xlfn.XLOOKUP(A60,'Do podmianki'!B:B,'Do podmianki'!C:C,L60)</f>
        <v>0.7</v>
      </c>
      <c r="K60">
        <v>8.8000000000000007</v>
      </c>
      <c r="L60">
        <v>0.7</v>
      </c>
      <c r="Q60">
        <v>8.8000000000000007</v>
      </c>
      <c r="R60">
        <v>0.7</v>
      </c>
      <c r="U60">
        <v>8.1629509999999996</v>
      </c>
      <c r="V60">
        <v>0.7</v>
      </c>
    </row>
    <row r="61" spans="1:22" x14ac:dyDescent="0.25">
      <c r="A61" t="s">
        <v>61</v>
      </c>
      <c r="B61">
        <f>_xlfn.XLOOKUP(A61,'Do podmianki'!A:A,'Do podmianki'!B:B,K61)</f>
        <v>19.7</v>
      </c>
      <c r="C61">
        <f>_xlfn.XLOOKUP(A61,'Do podmianki'!B:B,'Do podmianki'!C:C,L61)</f>
        <v>0.7</v>
      </c>
      <c r="K61">
        <v>19.7</v>
      </c>
      <c r="L61">
        <v>0.7</v>
      </c>
      <c r="Q61">
        <v>19.700001</v>
      </c>
      <c r="R61">
        <v>0.7</v>
      </c>
      <c r="U61">
        <v>8.1629509999999996</v>
      </c>
      <c r="V61">
        <v>0.7</v>
      </c>
    </row>
    <row r="62" spans="1:22" x14ac:dyDescent="0.25">
      <c r="A62" t="s">
        <v>62</v>
      </c>
      <c r="B62">
        <f>_xlfn.XLOOKUP(A62,'Do podmianki'!A:A,'Do podmianki'!B:B,K62)</f>
        <v>48</v>
      </c>
      <c r="C62">
        <f>_xlfn.XLOOKUP(A62,'Do podmianki'!B:B,'Do podmianki'!C:C,L62)</f>
        <v>2.1</v>
      </c>
      <c r="K62">
        <v>48</v>
      </c>
      <c r="L62">
        <v>2.1</v>
      </c>
      <c r="Q62">
        <v>48</v>
      </c>
      <c r="R62">
        <v>2.1</v>
      </c>
      <c r="U62">
        <v>24.925663</v>
      </c>
      <c r="V62">
        <v>2.1</v>
      </c>
    </row>
    <row r="63" spans="1:22" x14ac:dyDescent="0.25">
      <c r="A63" t="s">
        <v>63</v>
      </c>
      <c r="B63">
        <f>_xlfn.XLOOKUP(A63,'Do podmianki'!A:A,'Do podmianki'!B:B,K63)</f>
        <v>22.5</v>
      </c>
      <c r="C63">
        <f>_xlfn.XLOOKUP(A63,'Do podmianki'!B:B,'Do podmianki'!C:C,L63)</f>
        <v>5.7</v>
      </c>
      <c r="K63">
        <v>22.5</v>
      </c>
      <c r="L63">
        <v>5.7</v>
      </c>
      <c r="Q63">
        <v>22.5</v>
      </c>
      <c r="R63">
        <v>5.7</v>
      </c>
      <c r="U63">
        <v>66.750541999999896</v>
      </c>
      <c r="V63">
        <v>5.7</v>
      </c>
    </row>
    <row r="64" spans="1:22" x14ac:dyDescent="0.25">
      <c r="A64" t="s">
        <v>64</v>
      </c>
      <c r="B64">
        <f>_xlfn.XLOOKUP(A64,'Do podmianki'!A:A,'Do podmianki'!B:B,K64)</f>
        <v>84</v>
      </c>
      <c r="C64">
        <f>_xlfn.XLOOKUP(A64,'Do podmianki'!B:B,'Do podmianki'!C:C,L64)</f>
        <v>9.4</v>
      </c>
      <c r="K64">
        <v>84</v>
      </c>
      <c r="L64">
        <v>9.4</v>
      </c>
      <c r="Q64">
        <v>84</v>
      </c>
      <c r="R64">
        <v>9.4</v>
      </c>
      <c r="U64" s="3">
        <v>109.203346</v>
      </c>
      <c r="V64">
        <v>9.4</v>
      </c>
    </row>
    <row r="65" spans="1:22" x14ac:dyDescent="0.25">
      <c r="A65" t="s">
        <v>65</v>
      </c>
      <c r="B65">
        <f>_xlfn.XLOOKUP(A65,'Do podmianki'!A:A,'Do podmianki'!B:B,K65)</f>
        <v>7.2</v>
      </c>
      <c r="C65">
        <f>_xlfn.XLOOKUP(A65,'Do podmianki'!B:B,'Do podmianki'!C:C,L65)</f>
        <v>0.1</v>
      </c>
      <c r="K65">
        <v>7.2</v>
      </c>
      <c r="L65">
        <v>0.1</v>
      </c>
      <c r="Q65">
        <v>7.2</v>
      </c>
      <c r="R65">
        <v>0.1</v>
      </c>
      <c r="U65">
        <v>1.3650420000000001</v>
      </c>
      <c r="V65">
        <v>0.1</v>
      </c>
    </row>
    <row r="66" spans="1:22" x14ac:dyDescent="0.25">
      <c r="A66" t="s">
        <v>66</v>
      </c>
      <c r="B66">
        <f>_xlfn.XLOOKUP(A66,'Do podmianki'!A:A,'Do podmianki'!B:B,K66)</f>
        <v>17.5</v>
      </c>
      <c r="C66">
        <f>_xlfn.XLOOKUP(A66,'Do podmianki'!B:B,'Do podmianki'!C:C,L66)</f>
        <v>0.5</v>
      </c>
      <c r="K66">
        <v>17.5</v>
      </c>
      <c r="L66">
        <v>0.5</v>
      </c>
      <c r="Q66">
        <v>17.5</v>
      </c>
      <c r="R66">
        <v>0.5</v>
      </c>
      <c r="U66">
        <v>5.8696799999999998</v>
      </c>
      <c r="V66">
        <v>0.5</v>
      </c>
    </row>
    <row r="67" spans="1:22" x14ac:dyDescent="0.25">
      <c r="A67" t="s">
        <v>67</v>
      </c>
      <c r="B67">
        <f>_xlfn.XLOOKUP(A67,'Do podmianki'!A:A,'Do podmianki'!B:B,K67)</f>
        <v>8.8000000000000007</v>
      </c>
      <c r="C67">
        <f>_xlfn.XLOOKUP(A67,'Do podmianki'!B:B,'Do podmianki'!C:C,L67)</f>
        <v>0.7</v>
      </c>
      <c r="K67">
        <v>8.8000000000000007</v>
      </c>
      <c r="L67">
        <v>0.7</v>
      </c>
      <c r="Q67">
        <v>8.8000000000000007</v>
      </c>
      <c r="R67">
        <v>0.7</v>
      </c>
      <c r="U67">
        <v>8.7362680000000008</v>
      </c>
      <c r="V67">
        <v>0.7</v>
      </c>
    </row>
    <row r="68" spans="1:22" x14ac:dyDescent="0.25">
      <c r="A68" t="s">
        <v>68</v>
      </c>
      <c r="B68">
        <f>_xlfn.XLOOKUP(A68,'Do podmianki'!A:A,'Do podmianki'!B:B,K68)</f>
        <v>5.8</v>
      </c>
      <c r="C68">
        <f>_xlfn.XLOOKUP(A68,'Do podmianki'!B:B,'Do podmianki'!C:C,L68)</f>
        <v>0.4</v>
      </c>
      <c r="K68">
        <v>5.8</v>
      </c>
      <c r="L68">
        <v>0.4</v>
      </c>
      <c r="Q68">
        <v>5.8</v>
      </c>
      <c r="R68">
        <v>0.4</v>
      </c>
      <c r="U68">
        <v>4.777647</v>
      </c>
      <c r="V68">
        <v>0.4</v>
      </c>
    </row>
    <row r="69" spans="1:22" x14ac:dyDescent="0.25">
      <c r="A69" t="s">
        <v>69</v>
      </c>
      <c r="B69">
        <f>_xlfn.XLOOKUP(A69,'Do podmianki'!A:A,'Do podmianki'!B:B,K69)</f>
        <v>13.2</v>
      </c>
      <c r="C69">
        <f>_xlfn.XLOOKUP(A69,'Do podmianki'!B:B,'Do podmianki'!C:C,L69)</f>
        <v>0.7</v>
      </c>
      <c r="K69">
        <v>13.2</v>
      </c>
      <c r="L69">
        <v>0.7</v>
      </c>
      <c r="Q69">
        <v>13.2</v>
      </c>
      <c r="R69">
        <v>0.7</v>
      </c>
      <c r="U69">
        <v>7.644234</v>
      </c>
      <c r="V69">
        <v>0.7</v>
      </c>
    </row>
    <row r="70" spans="1:22" x14ac:dyDescent="0.25">
      <c r="A70" t="s">
        <v>70</v>
      </c>
      <c r="B70">
        <f>_xlfn.XLOOKUP(A70,'Do podmianki'!A:A,'Do podmianki'!B:B,K70)</f>
        <v>12.6</v>
      </c>
      <c r="C70">
        <f>_xlfn.XLOOKUP(A70,'Do podmianki'!B:B,'Do podmianki'!C:C,L70)</f>
        <v>7</v>
      </c>
      <c r="K70">
        <v>12.6</v>
      </c>
      <c r="L70">
        <v>7</v>
      </c>
      <c r="Q70">
        <v>12.6</v>
      </c>
      <c r="R70">
        <v>7</v>
      </c>
      <c r="U70">
        <v>81.219986000000006</v>
      </c>
      <c r="V70">
        <v>7</v>
      </c>
    </row>
    <row r="71" spans="1:22" x14ac:dyDescent="0.25">
      <c r="A71" t="s">
        <v>71</v>
      </c>
      <c r="B71">
        <f>_xlfn.XLOOKUP(A71,'Do podmianki'!A:A,'Do podmianki'!B:B,K71)</f>
        <v>6.5</v>
      </c>
      <c r="C71">
        <f>_xlfn.XLOOKUP(A71,'Do podmianki'!B:B,'Do podmianki'!C:C,L71)</f>
        <v>0.3</v>
      </c>
      <c r="K71">
        <v>6.5</v>
      </c>
      <c r="L71">
        <v>0.3</v>
      </c>
      <c r="Q71">
        <v>6.5</v>
      </c>
      <c r="R71">
        <v>0.3</v>
      </c>
      <c r="U71">
        <v>3.685613</v>
      </c>
      <c r="V71">
        <v>0.3</v>
      </c>
    </row>
    <row r="72" spans="1:22" x14ac:dyDescent="0.25">
      <c r="A72" t="s">
        <v>72</v>
      </c>
      <c r="B72">
        <f>_xlfn.XLOOKUP(A72,'Do podmianki'!A:A,'Do podmianki'!B:B,K72)</f>
        <v>9.4</v>
      </c>
      <c r="C72">
        <f>_xlfn.XLOOKUP(A72,'Do podmianki'!B:B,'Do podmianki'!C:C,L72)</f>
        <v>0.5</v>
      </c>
      <c r="K72">
        <v>9.4</v>
      </c>
      <c r="L72">
        <v>0.5</v>
      </c>
      <c r="Q72">
        <v>9.4</v>
      </c>
      <c r="R72">
        <v>0.5</v>
      </c>
      <c r="U72">
        <v>5.5966719999999999</v>
      </c>
      <c r="V72">
        <v>0.5</v>
      </c>
    </row>
    <row r="73" spans="1:22" x14ac:dyDescent="0.25">
      <c r="A73" t="s">
        <v>73</v>
      </c>
      <c r="B73">
        <f>_xlfn.XLOOKUP(A73,'Do podmianki'!A:A,'Do podmianki'!B:B,K73)</f>
        <v>9.8000000000000007</v>
      </c>
      <c r="C73">
        <f>_xlfn.XLOOKUP(A73,'Do podmianki'!B:B,'Do podmianki'!C:C,L73)</f>
        <v>0.4</v>
      </c>
      <c r="K73">
        <v>9.8000000000000007</v>
      </c>
      <c r="L73">
        <v>0.4</v>
      </c>
      <c r="Q73">
        <v>9.8000000000000007</v>
      </c>
      <c r="R73">
        <v>0.4</v>
      </c>
      <c r="U73">
        <v>5.1871590000000003</v>
      </c>
      <c r="V73">
        <v>0.4</v>
      </c>
    </row>
    <row r="74" spans="1:22" x14ac:dyDescent="0.25">
      <c r="A74" t="s">
        <v>74</v>
      </c>
      <c r="B74">
        <f>_xlfn.XLOOKUP(A74,'Do podmianki'!A:A,'Do podmianki'!B:B,K74)</f>
        <v>7.2</v>
      </c>
      <c r="C74">
        <f>_xlfn.XLOOKUP(A74,'Do podmianki'!B:B,'Do podmianki'!C:C,L74)</f>
        <v>0.5</v>
      </c>
      <c r="K74">
        <v>7.2</v>
      </c>
      <c r="L74">
        <v>0.5</v>
      </c>
      <c r="Q74">
        <v>7.2</v>
      </c>
      <c r="R74">
        <v>0.5</v>
      </c>
      <c r="U74">
        <v>25.490589</v>
      </c>
      <c r="V74">
        <v>0</v>
      </c>
    </row>
    <row r="75" spans="1:22" x14ac:dyDescent="0.25">
      <c r="A75" t="s">
        <v>75</v>
      </c>
      <c r="B75">
        <f>_xlfn.XLOOKUP(A75,'Do podmianki'!A:A,'Do podmianki'!B:B,K75)</f>
        <v>6.2</v>
      </c>
      <c r="C75">
        <f>_xlfn.XLOOKUP(A75,'Do podmianki'!B:B,'Do podmianki'!C:C,L75)</f>
        <v>0.8</v>
      </c>
      <c r="K75">
        <v>6.2</v>
      </c>
      <c r="L75">
        <v>0.8</v>
      </c>
      <c r="Q75">
        <v>6.2</v>
      </c>
      <c r="R75">
        <v>0.8</v>
      </c>
      <c r="U75">
        <v>3.9835639999999999</v>
      </c>
      <c r="V75">
        <v>0.8</v>
      </c>
    </row>
    <row r="76" spans="1:22" x14ac:dyDescent="0.25">
      <c r="A76" t="s">
        <v>76</v>
      </c>
      <c r="B76">
        <f>_xlfn.XLOOKUP(A76,'Do podmianki'!A:A,'Do podmianki'!B:B,K76)</f>
        <v>7.7</v>
      </c>
      <c r="C76">
        <f>_xlfn.XLOOKUP(A76,'Do podmianki'!B:B,'Do podmianki'!C:C,L76)</f>
        <v>0</v>
      </c>
      <c r="K76">
        <v>7.7</v>
      </c>
      <c r="L76">
        <v>0</v>
      </c>
      <c r="Q76">
        <v>7.7</v>
      </c>
      <c r="R76">
        <v>0</v>
      </c>
      <c r="U76">
        <v>0</v>
      </c>
      <c r="V76">
        <v>0</v>
      </c>
    </row>
    <row r="77" spans="1:22" x14ac:dyDescent="0.25">
      <c r="A77" t="s">
        <v>77</v>
      </c>
      <c r="B77">
        <f>_xlfn.XLOOKUP(A77,'Do podmianki'!A:A,'Do podmianki'!B:B,K77)</f>
        <v>5.6</v>
      </c>
      <c r="C77">
        <f>_xlfn.XLOOKUP(A77,'Do podmianki'!B:B,'Do podmianki'!C:C,L77)</f>
        <v>0.1</v>
      </c>
      <c r="K77">
        <v>5.6</v>
      </c>
      <c r="L77">
        <v>0.1</v>
      </c>
      <c r="Q77">
        <v>5.6</v>
      </c>
      <c r="R77">
        <v>0.1</v>
      </c>
      <c r="U77">
        <v>1.63805</v>
      </c>
      <c r="V77">
        <v>0.1</v>
      </c>
    </row>
    <row r="78" spans="1:22" x14ac:dyDescent="0.25">
      <c r="A78" t="s">
        <v>78</v>
      </c>
      <c r="B78">
        <f>_xlfn.XLOOKUP(A78,'Do podmianki'!A:A,'Do podmianki'!B:B,K78)</f>
        <v>7.8</v>
      </c>
      <c r="C78">
        <f>_xlfn.XLOOKUP(A78,'Do podmianki'!B:B,'Do podmianki'!C:C,L78)</f>
        <v>0.2</v>
      </c>
      <c r="K78">
        <v>7.8</v>
      </c>
      <c r="L78">
        <v>0.2</v>
      </c>
      <c r="Q78">
        <v>7.8</v>
      </c>
      <c r="R78">
        <v>0.2</v>
      </c>
      <c r="U78">
        <v>2.8665880000000001</v>
      </c>
      <c r="V78">
        <v>0.2</v>
      </c>
    </row>
    <row r="79" spans="1:22" x14ac:dyDescent="0.25">
      <c r="A79" t="s">
        <v>79</v>
      </c>
      <c r="B79">
        <f>_xlfn.XLOOKUP(A79,'Do podmianki'!A:A,'Do podmianki'!B:B,K79)</f>
        <v>5.7</v>
      </c>
      <c r="C79">
        <f>_xlfn.XLOOKUP(A79,'Do podmianki'!B:B,'Do podmianki'!C:C,L79)</f>
        <v>0.1</v>
      </c>
      <c r="K79">
        <v>5.7</v>
      </c>
      <c r="L79">
        <v>0.1</v>
      </c>
      <c r="Q79">
        <v>5.7</v>
      </c>
      <c r="R79">
        <v>0.1</v>
      </c>
      <c r="U79">
        <v>0.95552899999999996</v>
      </c>
      <c r="V79">
        <v>0.1</v>
      </c>
    </row>
    <row r="80" spans="1:22" x14ac:dyDescent="0.25">
      <c r="A80" t="s">
        <v>80</v>
      </c>
      <c r="B80">
        <f>_xlfn.XLOOKUP(A80,'Do podmianki'!A:A,'Do podmianki'!B:B,K80)</f>
        <v>12.1</v>
      </c>
      <c r="C80">
        <f>_xlfn.XLOOKUP(A80,'Do podmianki'!B:B,'Do podmianki'!C:C,L80)</f>
        <v>0.4</v>
      </c>
      <c r="K80">
        <v>12.1</v>
      </c>
      <c r="L80">
        <v>0.4</v>
      </c>
      <c r="Q80">
        <v>12.1</v>
      </c>
      <c r="R80">
        <v>0.4</v>
      </c>
      <c r="U80">
        <v>5.1871590000000003</v>
      </c>
      <c r="V80">
        <v>0.4</v>
      </c>
    </row>
    <row r="81" spans="1:22" x14ac:dyDescent="0.25">
      <c r="A81" t="s">
        <v>81</v>
      </c>
      <c r="B81">
        <f>_xlfn.XLOOKUP(A81,'Do podmianki'!A:A,'Do podmianki'!B:B,K81)</f>
        <v>8.1</v>
      </c>
      <c r="C81">
        <f>_xlfn.XLOOKUP(A81,'Do podmianki'!B:B,'Do podmianki'!C:C,L81)</f>
        <v>0.9</v>
      </c>
      <c r="K81">
        <v>8.1</v>
      </c>
      <c r="L81">
        <v>0.9</v>
      </c>
      <c r="Q81">
        <v>8.1</v>
      </c>
      <c r="R81">
        <v>0.9</v>
      </c>
      <c r="U81">
        <v>10.5108219999999</v>
      </c>
      <c r="V81">
        <v>0.9</v>
      </c>
    </row>
    <row r="82" spans="1:22" x14ac:dyDescent="0.25">
      <c r="A82" t="s">
        <v>82</v>
      </c>
      <c r="B82">
        <f>_xlfn.XLOOKUP(A82,'Do podmianki'!A:A,'Do podmianki'!B:B,K82)</f>
        <v>5.0999999999999996</v>
      </c>
      <c r="C82">
        <f>_xlfn.XLOOKUP(A82,'Do podmianki'!B:B,'Do podmianki'!C:C,L82)</f>
        <v>1.1000000000000001</v>
      </c>
      <c r="K82">
        <v>5.0999999999999996</v>
      </c>
      <c r="L82">
        <v>1.1000000000000001</v>
      </c>
      <c r="Q82">
        <v>5.0999999999999996</v>
      </c>
      <c r="R82">
        <v>1.1000000000000001</v>
      </c>
      <c r="U82">
        <v>13.104402</v>
      </c>
      <c r="V82">
        <v>1.1000000000000001</v>
      </c>
    </row>
    <row r="83" spans="1:22" x14ac:dyDescent="0.25">
      <c r="A83" t="s">
        <v>83</v>
      </c>
      <c r="B83">
        <f>_xlfn.XLOOKUP(A83,'Do podmianki'!A:A,'Do podmianki'!B:B,K83)</f>
        <v>6.7</v>
      </c>
      <c r="C83">
        <f>_xlfn.XLOOKUP(A83,'Do podmianki'!B:B,'Do podmianki'!C:C,L83)</f>
        <v>0.3</v>
      </c>
      <c r="K83">
        <v>6.7</v>
      </c>
      <c r="L83">
        <v>0.3</v>
      </c>
      <c r="Q83">
        <v>6.7</v>
      </c>
      <c r="R83">
        <v>0.3</v>
      </c>
      <c r="U83">
        <v>3.0030920000000001</v>
      </c>
      <c r="V83">
        <v>0.3</v>
      </c>
    </row>
    <row r="84" spans="1:22" x14ac:dyDescent="0.25">
      <c r="A84" t="s">
        <v>84</v>
      </c>
      <c r="B84">
        <f>_xlfn.XLOOKUP(A84,'Do podmianki'!A:A,'Do podmianki'!B:B,K84)</f>
        <v>19.399999999999999</v>
      </c>
      <c r="C84">
        <f>_xlfn.XLOOKUP(A84,'Do podmianki'!B:B,'Do podmianki'!C:C,L84)</f>
        <v>0.5</v>
      </c>
      <c r="K84">
        <v>19.399999999999999</v>
      </c>
      <c r="L84">
        <v>0.5</v>
      </c>
      <c r="Q84">
        <v>19.399999999999999</v>
      </c>
      <c r="R84">
        <v>0.5</v>
      </c>
      <c r="U84">
        <v>6.4156969999999998</v>
      </c>
      <c r="V84">
        <v>0.5</v>
      </c>
    </row>
    <row r="85" spans="1:22" x14ac:dyDescent="0.25">
      <c r="A85" t="s">
        <v>85</v>
      </c>
      <c r="B85">
        <f>_xlfn.XLOOKUP(A85,'Do podmianki'!A:A,'Do podmianki'!B:B,K85)</f>
        <v>65.5</v>
      </c>
      <c r="C85">
        <f>_xlfn.XLOOKUP(A85,'Do podmianki'!B:B,'Do podmianki'!C:C,L85)</f>
        <v>2.1</v>
      </c>
      <c r="K85">
        <v>65.5</v>
      </c>
      <c r="L85">
        <v>2.1</v>
      </c>
      <c r="Q85">
        <v>65.5</v>
      </c>
      <c r="R85">
        <v>2.1</v>
      </c>
      <c r="U85">
        <v>24.024736000000001</v>
      </c>
      <c r="V85">
        <v>2.1</v>
      </c>
    </row>
    <row r="86" spans="1:22" x14ac:dyDescent="0.25">
      <c r="A86" t="s">
        <v>86</v>
      </c>
      <c r="B86">
        <f>_xlfn.XLOOKUP(A86,'Do podmianki'!A:A,'Do podmianki'!B:B,K86)</f>
        <v>5.2</v>
      </c>
      <c r="C86">
        <f>_xlfn.XLOOKUP(A86,'Do podmianki'!B:B,'Do podmianki'!C:C,L86)</f>
        <v>1.2</v>
      </c>
      <c r="K86">
        <v>5.2</v>
      </c>
      <c r="L86">
        <v>1.2</v>
      </c>
      <c r="Q86">
        <v>5.2</v>
      </c>
      <c r="R86">
        <v>1.2</v>
      </c>
      <c r="U86">
        <v>13.650418</v>
      </c>
      <c r="V86">
        <v>1.2</v>
      </c>
    </row>
    <row r="87" spans="1:22" x14ac:dyDescent="0.25">
      <c r="A87" t="s">
        <v>87</v>
      </c>
      <c r="B87">
        <f>_xlfn.XLOOKUP(A87,'Do podmianki'!A:A,'Do podmianki'!B:B,K87)</f>
        <v>45</v>
      </c>
      <c r="C87">
        <f>_xlfn.XLOOKUP(A87,'Do podmianki'!B:B,'Do podmianki'!C:C,L87)</f>
        <v>1.5</v>
      </c>
      <c r="K87">
        <v>45</v>
      </c>
      <c r="L87">
        <v>1.5</v>
      </c>
      <c r="Q87">
        <v>45</v>
      </c>
      <c r="R87">
        <v>1.5</v>
      </c>
      <c r="U87">
        <v>17.882048000000001</v>
      </c>
      <c r="V87">
        <v>1.5</v>
      </c>
    </row>
    <row r="88" spans="1:22" x14ac:dyDescent="0.25">
      <c r="A88" t="s">
        <v>88</v>
      </c>
      <c r="B88">
        <f>_xlfn.XLOOKUP(A88,'Do podmianki'!A:A,'Do podmianki'!B:B,K88)</f>
        <v>5.3</v>
      </c>
      <c r="C88">
        <f>_xlfn.XLOOKUP(A88,'Do podmianki'!B:B,'Do podmianki'!C:C,L88)</f>
        <v>0.9</v>
      </c>
      <c r="K88">
        <v>5.3</v>
      </c>
      <c r="L88">
        <v>0.9</v>
      </c>
      <c r="Q88">
        <v>5.3</v>
      </c>
      <c r="R88">
        <v>0.9</v>
      </c>
      <c r="U88">
        <v>11.056839</v>
      </c>
      <c r="V88">
        <v>0.9</v>
      </c>
    </row>
    <row r="89" spans="1:22" x14ac:dyDescent="0.25">
      <c r="A89" t="s">
        <v>89</v>
      </c>
      <c r="B89">
        <f>_xlfn.XLOOKUP(A89,'Do podmianki'!A:A,'Do podmianki'!B:B,K89)</f>
        <v>7.1</v>
      </c>
      <c r="C89">
        <f>_xlfn.XLOOKUP(A89,'Do podmianki'!B:B,'Do podmianki'!C:C,L89)</f>
        <v>3.3</v>
      </c>
      <c r="K89">
        <v>7.1</v>
      </c>
      <c r="L89">
        <v>3.3</v>
      </c>
      <c r="Q89">
        <v>7.1</v>
      </c>
      <c r="R89">
        <v>3.3</v>
      </c>
      <c r="U89">
        <v>38.903689999999898</v>
      </c>
      <c r="V89">
        <v>3.3</v>
      </c>
    </row>
    <row r="90" spans="1:22" x14ac:dyDescent="0.25">
      <c r="A90" t="s">
        <v>90</v>
      </c>
      <c r="B90">
        <f>_xlfn.XLOOKUP(A90,'Do podmianki'!A:A,'Do podmianki'!B:B,K90)</f>
        <v>9.6999999999999993</v>
      </c>
      <c r="C90">
        <f>_xlfn.XLOOKUP(A90,'Do podmianki'!B:B,'Do podmianki'!C:C,L90)</f>
        <v>2</v>
      </c>
      <c r="K90">
        <v>9.6999999999999993</v>
      </c>
      <c r="L90">
        <v>2</v>
      </c>
      <c r="Q90">
        <v>9.6999999999999993</v>
      </c>
      <c r="R90">
        <v>2</v>
      </c>
      <c r="U90">
        <v>23.3422149999999</v>
      </c>
      <c r="V90">
        <v>2</v>
      </c>
    </row>
    <row r="91" spans="1:22" x14ac:dyDescent="0.25">
      <c r="A91" t="s">
        <v>91</v>
      </c>
      <c r="B91">
        <f>_xlfn.XLOOKUP(A91,'Do podmianki'!A:A,'Do podmianki'!B:B,K91)</f>
        <v>25.3</v>
      </c>
      <c r="C91">
        <f>_xlfn.XLOOKUP(A91,'Do podmianki'!B:B,'Do podmianki'!C:C,L91)</f>
        <v>3.8</v>
      </c>
      <c r="K91">
        <v>25.3</v>
      </c>
      <c r="L91">
        <v>3.8</v>
      </c>
      <c r="Q91">
        <v>25.299999</v>
      </c>
      <c r="R91">
        <v>3.8</v>
      </c>
      <c r="U91">
        <v>44.7733729999999</v>
      </c>
      <c r="V91">
        <v>3.8</v>
      </c>
    </row>
    <row r="92" spans="1:22" x14ac:dyDescent="0.25">
      <c r="A92" t="s">
        <v>92</v>
      </c>
      <c r="B92">
        <f>_xlfn.XLOOKUP(A92,'Do podmianki'!A:A,'Do podmianki'!B:B,K92)</f>
        <v>49</v>
      </c>
      <c r="C92">
        <f>_xlfn.XLOOKUP(A92,'Do podmianki'!B:B,'Do podmianki'!C:C,L92)</f>
        <v>5</v>
      </c>
      <c r="K92">
        <v>49</v>
      </c>
      <c r="L92">
        <v>5</v>
      </c>
      <c r="Q92">
        <v>49</v>
      </c>
      <c r="R92">
        <v>5</v>
      </c>
      <c r="U92">
        <v>58.423789999999897</v>
      </c>
      <c r="V92">
        <v>5</v>
      </c>
    </row>
    <row r="93" spans="1:22" x14ac:dyDescent="0.25">
      <c r="A93" t="s">
        <v>93</v>
      </c>
      <c r="B93">
        <f>_xlfn.XLOOKUP(A93,'Do podmianki'!A:A,'Do podmianki'!B:B,K93)</f>
        <v>19.600000000000001</v>
      </c>
      <c r="C93">
        <f>_xlfn.XLOOKUP(A93,'Do podmianki'!B:B,'Do podmianki'!C:C,L93)</f>
        <v>2</v>
      </c>
      <c r="K93">
        <v>19.600000000000001</v>
      </c>
      <c r="L93">
        <v>2</v>
      </c>
      <c r="Q93">
        <v>19.600000000000001</v>
      </c>
      <c r="R93">
        <v>2</v>
      </c>
      <c r="U93">
        <v>23.615223</v>
      </c>
      <c r="V93">
        <v>2</v>
      </c>
    </row>
    <row r="94" spans="1:22" x14ac:dyDescent="0.25">
      <c r="A94" t="s">
        <v>94</v>
      </c>
      <c r="B94">
        <f>_xlfn.XLOOKUP(A94,'Do podmianki'!A:A,'Do podmianki'!B:B,K94)</f>
        <v>39.200000000000003</v>
      </c>
      <c r="C94">
        <f>_xlfn.XLOOKUP(A94,'Do podmianki'!B:B,'Do podmianki'!C:C,L94)</f>
        <v>4.8</v>
      </c>
      <c r="K94">
        <v>39.200000000000003</v>
      </c>
      <c r="L94">
        <v>4.8</v>
      </c>
      <c r="Q94">
        <v>39.200001</v>
      </c>
      <c r="R94">
        <v>4.8</v>
      </c>
      <c r="U94">
        <v>55.966712999999899</v>
      </c>
      <c r="V94">
        <v>4.8</v>
      </c>
    </row>
    <row r="95" spans="1:22" x14ac:dyDescent="0.25">
      <c r="A95" t="s">
        <v>95</v>
      </c>
      <c r="B95">
        <f>_xlfn.XLOOKUP(A95,'Do podmianki'!A:A,'Do podmianki'!B:B,K95)</f>
        <v>15.2</v>
      </c>
      <c r="C95">
        <f>_xlfn.XLOOKUP(A95,'Do podmianki'!B:B,'Do podmianki'!C:C,L95)</f>
        <v>6.3</v>
      </c>
      <c r="K95">
        <v>15.2</v>
      </c>
      <c r="L95">
        <v>6.3</v>
      </c>
      <c r="Q95">
        <v>15.2</v>
      </c>
      <c r="R95">
        <v>6.3</v>
      </c>
      <c r="U95">
        <v>73.439246999999895</v>
      </c>
      <c r="V95">
        <v>6.3</v>
      </c>
    </row>
    <row r="96" spans="1:22" x14ac:dyDescent="0.25">
      <c r="A96" t="s">
        <v>96</v>
      </c>
      <c r="B96">
        <f>_xlfn.XLOOKUP(A96,'Do podmianki'!A:A,'Do podmianki'!B:B,K96)</f>
        <v>15.7</v>
      </c>
      <c r="C96">
        <f>_xlfn.XLOOKUP(A96,'Do podmianki'!B:B,'Do podmianki'!C:C,L96)</f>
        <v>2.6</v>
      </c>
      <c r="K96">
        <v>15.7</v>
      </c>
      <c r="L96">
        <v>2.6</v>
      </c>
      <c r="Q96">
        <v>15.7</v>
      </c>
      <c r="R96">
        <v>2.6</v>
      </c>
      <c r="U96">
        <v>30.440434</v>
      </c>
      <c r="V96">
        <v>2.6</v>
      </c>
    </row>
    <row r="97" spans="1:22" x14ac:dyDescent="0.25">
      <c r="A97" t="s">
        <v>97</v>
      </c>
      <c r="B97">
        <f>_xlfn.XLOOKUP(A97,'Do podmianki'!A:A,'Do podmianki'!B:B,K97)</f>
        <v>25.3</v>
      </c>
      <c r="C97">
        <f>_xlfn.XLOOKUP(A97,'Do podmianki'!B:B,'Do podmianki'!C:C,L97)</f>
        <v>1.1000000000000001</v>
      </c>
      <c r="K97">
        <v>25.3</v>
      </c>
      <c r="L97">
        <v>1.1000000000000001</v>
      </c>
      <c r="Q97">
        <v>25.299999</v>
      </c>
      <c r="R97">
        <v>1.1000000000000001</v>
      </c>
      <c r="U97">
        <v>13.104402</v>
      </c>
      <c r="V97">
        <v>1.1000000000000001</v>
      </c>
    </row>
    <row r="98" spans="1:22" x14ac:dyDescent="0.25">
      <c r="A98" t="s">
        <v>98</v>
      </c>
      <c r="B98">
        <f>_xlfn.XLOOKUP(A98,'Do podmianki'!A:A,'Do podmianki'!B:B,K98)</f>
        <v>19.7</v>
      </c>
      <c r="C98">
        <f>_xlfn.XLOOKUP(A98,'Do podmianki'!B:B,'Do podmianki'!C:C,L98)</f>
        <v>0.2</v>
      </c>
      <c r="K98">
        <v>19.7</v>
      </c>
      <c r="L98">
        <v>0.2</v>
      </c>
      <c r="Q98">
        <v>19.700001</v>
      </c>
      <c r="R98">
        <v>0.2</v>
      </c>
      <c r="U98">
        <v>2.8665880000000001</v>
      </c>
      <c r="V98">
        <v>0.2</v>
      </c>
    </row>
    <row r="99" spans="1:22" x14ac:dyDescent="0.25">
      <c r="A99" t="s">
        <v>99</v>
      </c>
      <c r="B99">
        <f>_xlfn.XLOOKUP(A99,'Do podmianki'!A:A,'Do podmianki'!B:B,K99)</f>
        <v>6.2</v>
      </c>
      <c r="C99">
        <f>_xlfn.XLOOKUP(A99,'Do podmianki'!B:B,'Do podmianki'!C:C,L99)</f>
        <v>1.9</v>
      </c>
      <c r="K99">
        <v>6.2</v>
      </c>
      <c r="L99">
        <v>1.9</v>
      </c>
      <c r="Q99">
        <v>6.2</v>
      </c>
      <c r="R99">
        <v>1.9</v>
      </c>
      <c r="U99">
        <v>21.704165</v>
      </c>
      <c r="V99">
        <v>1.9</v>
      </c>
    </row>
    <row r="100" spans="1:22" x14ac:dyDescent="0.25">
      <c r="A100" t="s">
        <v>100</v>
      </c>
      <c r="B100">
        <f>_xlfn.XLOOKUP(A100,'Do podmianki'!A:A,'Do podmianki'!B:B,K100)</f>
        <v>13.1</v>
      </c>
      <c r="C100">
        <f>_xlfn.XLOOKUP(A100,'Do podmianki'!B:B,'Do podmianki'!C:C,L100)</f>
        <v>5.7</v>
      </c>
      <c r="K100">
        <v>13.1</v>
      </c>
      <c r="L100">
        <v>5.7</v>
      </c>
      <c r="Q100">
        <v>13.1</v>
      </c>
      <c r="R100">
        <v>5.7</v>
      </c>
      <c r="U100">
        <v>66.204528999999894</v>
      </c>
      <c r="V100">
        <v>5.7</v>
      </c>
    </row>
    <row r="101" spans="1:22" x14ac:dyDescent="0.25">
      <c r="A101" t="s">
        <v>101</v>
      </c>
      <c r="B101">
        <f>_xlfn.XLOOKUP(A101,'Do podmianki'!A:A,'Do podmianki'!B:B,K101)</f>
        <v>17.399999999999999</v>
      </c>
      <c r="C101">
        <f>_xlfn.XLOOKUP(A101,'Do podmianki'!B:B,'Do podmianki'!C:C,L101)</f>
        <v>6.7</v>
      </c>
      <c r="K101">
        <v>17.399999999999999</v>
      </c>
      <c r="L101">
        <v>6.7</v>
      </c>
      <c r="Q101">
        <v>17.399999999999999</v>
      </c>
      <c r="R101">
        <v>6.7</v>
      </c>
      <c r="U101">
        <v>78.080391000000006</v>
      </c>
      <c r="V101">
        <v>6.7</v>
      </c>
    </row>
    <row r="102" spans="1:22" x14ac:dyDescent="0.25">
      <c r="A102" t="s">
        <v>102</v>
      </c>
      <c r="B102">
        <f>_xlfn.XLOOKUP(A102,'Do podmianki'!A:A,'Do podmianki'!B:B,K102)</f>
        <v>7.9</v>
      </c>
      <c r="C102">
        <f>_xlfn.XLOOKUP(A102,'Do podmianki'!B:B,'Do podmianki'!C:C,L102)</f>
        <v>3.1</v>
      </c>
      <c r="K102">
        <v>7.9</v>
      </c>
      <c r="L102">
        <v>3.1</v>
      </c>
      <c r="Q102">
        <v>7.9</v>
      </c>
      <c r="R102">
        <v>3.1</v>
      </c>
      <c r="U102">
        <v>36.719624000000003</v>
      </c>
      <c r="V102">
        <v>3.1</v>
      </c>
    </row>
    <row r="103" spans="1:22" x14ac:dyDescent="0.25">
      <c r="A103" t="s">
        <v>103</v>
      </c>
      <c r="B103">
        <f>_xlfn.XLOOKUP(A103,'Do podmianki'!A:A,'Do podmianki'!B:B,K103)</f>
        <v>37.6</v>
      </c>
      <c r="C103">
        <f>_xlfn.XLOOKUP(A103,'Do podmianki'!B:B,'Do podmianki'!C:C,L103)</f>
        <v>3</v>
      </c>
      <c r="K103">
        <v>37.6</v>
      </c>
      <c r="L103">
        <v>3</v>
      </c>
      <c r="Q103">
        <v>37.599997999999999</v>
      </c>
      <c r="R103">
        <v>3</v>
      </c>
      <c r="U103">
        <v>34.808566999999897</v>
      </c>
      <c r="V103">
        <v>3</v>
      </c>
    </row>
    <row r="104" spans="1:22" x14ac:dyDescent="0.25">
      <c r="A104" t="s">
        <v>104</v>
      </c>
      <c r="B104">
        <f>_xlfn.XLOOKUP(A104,'Do podmianki'!A:A,'Do podmianki'!B:B,K104)</f>
        <v>6.3</v>
      </c>
      <c r="C104">
        <f>_xlfn.XLOOKUP(A104,'Do podmianki'!B:B,'Do podmianki'!C:C,L104)</f>
        <v>0.1</v>
      </c>
      <c r="K104">
        <v>6.3</v>
      </c>
      <c r="L104">
        <v>0.1</v>
      </c>
      <c r="Q104">
        <v>6.3</v>
      </c>
      <c r="R104">
        <v>0.1</v>
      </c>
      <c r="U104">
        <v>1.0920339999999999</v>
      </c>
      <c r="V104">
        <v>0.1</v>
      </c>
    </row>
    <row r="105" spans="1:22" x14ac:dyDescent="0.25">
      <c r="A105" t="s">
        <v>105</v>
      </c>
      <c r="B105">
        <f>_xlfn.XLOOKUP(A105,'Do podmianki'!A:A,'Do podmianki'!B:B,K105)</f>
        <v>10.8</v>
      </c>
      <c r="C105">
        <f>_xlfn.XLOOKUP(A105,'Do podmianki'!B:B,'Do podmianki'!C:C,L105)</f>
        <v>0.7</v>
      </c>
      <c r="K105">
        <v>10.8</v>
      </c>
      <c r="L105">
        <v>0.7</v>
      </c>
      <c r="Q105">
        <v>10.8</v>
      </c>
      <c r="R105">
        <v>0.7</v>
      </c>
      <c r="U105">
        <v>8.3267559999999996</v>
      </c>
      <c r="V105">
        <v>0.7</v>
      </c>
    </row>
    <row r="106" spans="1:22" x14ac:dyDescent="0.25">
      <c r="A106" t="s">
        <v>106</v>
      </c>
      <c r="B106">
        <f>_xlfn.XLOOKUP(A106,'Do podmianki'!A:A,'Do podmianki'!B:B,K106)</f>
        <v>7</v>
      </c>
      <c r="C106">
        <f>_xlfn.XLOOKUP(A106,'Do podmianki'!B:B,'Do podmianki'!C:C,L106)</f>
        <v>0.9</v>
      </c>
      <c r="K106">
        <v>7</v>
      </c>
      <c r="L106">
        <v>0.9</v>
      </c>
      <c r="Q106">
        <v>7</v>
      </c>
      <c r="R106">
        <v>0.9</v>
      </c>
      <c r="U106">
        <v>10.5108219999999</v>
      </c>
      <c r="V106">
        <v>0.9</v>
      </c>
    </row>
    <row r="107" spans="1:22" x14ac:dyDescent="0.25">
      <c r="A107" t="s">
        <v>107</v>
      </c>
      <c r="B107">
        <f>_xlfn.XLOOKUP(A107,'Do podmianki'!A:A,'Do podmianki'!B:B,K107)</f>
        <v>5.3</v>
      </c>
      <c r="C107">
        <f>_xlfn.XLOOKUP(A107,'Do podmianki'!B:B,'Do podmianki'!C:C,L107)</f>
        <v>0.7</v>
      </c>
      <c r="K107">
        <v>5.3</v>
      </c>
      <c r="L107">
        <v>0.7</v>
      </c>
      <c r="Q107">
        <v>5.3</v>
      </c>
      <c r="R107">
        <v>0.7</v>
      </c>
      <c r="U107">
        <v>8.3267559999999996</v>
      </c>
      <c r="V107">
        <v>0.7</v>
      </c>
    </row>
    <row r="108" spans="1:22" x14ac:dyDescent="0.25">
      <c r="A108" t="s">
        <v>108</v>
      </c>
      <c r="B108">
        <f>_xlfn.XLOOKUP(A108,'Do podmianki'!A:A,'Do podmianki'!B:B,K108)</f>
        <v>7.6</v>
      </c>
      <c r="C108">
        <f>_xlfn.XLOOKUP(A108,'Do podmianki'!B:B,'Do podmianki'!C:C,L108)</f>
        <v>0.7</v>
      </c>
      <c r="K108">
        <v>7.6</v>
      </c>
      <c r="L108">
        <v>0.7</v>
      </c>
      <c r="Q108">
        <v>7.6</v>
      </c>
      <c r="R108">
        <v>0.7</v>
      </c>
      <c r="U108">
        <v>8.0537469999999995</v>
      </c>
      <c r="V108">
        <v>0.7</v>
      </c>
    </row>
    <row r="109" spans="1:22" x14ac:dyDescent="0.25">
      <c r="A109" t="s">
        <v>109</v>
      </c>
      <c r="B109">
        <f>_xlfn.XLOOKUP(A109,'Do podmianki'!A:A,'Do podmianki'!B:B,K109)</f>
        <v>6.6</v>
      </c>
      <c r="C109">
        <f>_xlfn.XLOOKUP(A109,'Do podmianki'!B:B,'Do podmianki'!C:C,L109)</f>
        <v>0.5</v>
      </c>
      <c r="K109">
        <v>6.6</v>
      </c>
      <c r="L109">
        <v>0.5</v>
      </c>
      <c r="Q109">
        <v>6.6</v>
      </c>
      <c r="R109">
        <v>0.5</v>
      </c>
      <c r="U109">
        <v>6.1426879999999997</v>
      </c>
      <c r="V109">
        <v>0.5</v>
      </c>
    </row>
    <row r="110" spans="1:22" x14ac:dyDescent="0.25">
      <c r="A110" t="s">
        <v>110</v>
      </c>
      <c r="B110">
        <f>_xlfn.XLOOKUP(A110,'Do podmianki'!A:A,'Do podmianki'!B:B,K110)</f>
        <v>5</v>
      </c>
      <c r="C110">
        <f>_xlfn.XLOOKUP(A110,'Do podmianki'!B:B,'Do podmianki'!C:C,L110)</f>
        <v>0.3</v>
      </c>
      <c r="K110">
        <v>5</v>
      </c>
      <c r="L110">
        <v>0.3</v>
      </c>
      <c r="Q110">
        <v>5</v>
      </c>
      <c r="R110">
        <v>0.3</v>
      </c>
      <c r="U110">
        <v>3.822117</v>
      </c>
      <c r="V110">
        <v>0.3</v>
      </c>
    </row>
    <row r="111" spans="1:22" x14ac:dyDescent="0.25">
      <c r="A111" t="s">
        <v>111</v>
      </c>
      <c r="B111">
        <f>_xlfn.XLOOKUP(A111,'Do podmianki'!A:A,'Do podmianki'!B:B,K111)</f>
        <v>7.7</v>
      </c>
      <c r="C111">
        <f>_xlfn.XLOOKUP(A111,'Do podmianki'!B:B,'Do podmianki'!C:C,L111)</f>
        <v>0.8</v>
      </c>
      <c r="K111">
        <v>7.7</v>
      </c>
      <c r="L111">
        <v>0.8</v>
      </c>
      <c r="Q111">
        <v>7.7</v>
      </c>
      <c r="R111">
        <v>0.8</v>
      </c>
      <c r="U111">
        <v>9.4187890000000003</v>
      </c>
      <c r="V111">
        <v>0.8</v>
      </c>
    </row>
    <row r="112" spans="1:22" x14ac:dyDescent="0.25">
      <c r="A112" t="s">
        <v>112</v>
      </c>
      <c r="B112">
        <f>_xlfn.XLOOKUP(A112,'Do podmianki'!A:A,'Do podmianki'!B:B,K112)</f>
        <v>9.8000000000000007</v>
      </c>
      <c r="C112">
        <f>_xlfn.XLOOKUP(A112,'Do podmianki'!B:B,'Do podmianki'!C:C,L112)</f>
        <v>0.4</v>
      </c>
      <c r="K112">
        <v>9.8000000000000007</v>
      </c>
      <c r="L112">
        <v>0.4</v>
      </c>
      <c r="Q112">
        <v>9.8000000000000007</v>
      </c>
      <c r="R112">
        <v>0.4</v>
      </c>
      <c r="U112">
        <v>4.5182890000000002</v>
      </c>
      <c r="V112">
        <v>0.4</v>
      </c>
    </row>
    <row r="113" spans="1:22" x14ac:dyDescent="0.25">
      <c r="A113" t="s">
        <v>113</v>
      </c>
      <c r="B113">
        <f>_xlfn.XLOOKUP(A113,'Do podmianki'!A:A,'Do podmianki'!B:B,K113)</f>
        <v>5.4</v>
      </c>
      <c r="C113">
        <f>_xlfn.XLOOKUP(A113,'Do podmianki'!B:B,'Do podmianki'!C:C,L113)</f>
        <v>0.2</v>
      </c>
      <c r="K113">
        <v>5.4</v>
      </c>
      <c r="L113">
        <v>0.2</v>
      </c>
      <c r="Q113">
        <v>5.4</v>
      </c>
      <c r="R113">
        <v>0.2</v>
      </c>
      <c r="U113">
        <v>2.7300840000000002</v>
      </c>
      <c r="V113">
        <v>0.2</v>
      </c>
    </row>
    <row r="114" spans="1:22" x14ac:dyDescent="0.25">
      <c r="A114" t="s">
        <v>114</v>
      </c>
      <c r="B114">
        <f>_xlfn.XLOOKUP(A114,'Do podmianki'!A:A,'Do podmianki'!B:B,K114)</f>
        <v>71</v>
      </c>
      <c r="C114">
        <f>_xlfn.XLOOKUP(A114,'Do podmianki'!B:B,'Do podmianki'!C:C,L114)</f>
        <v>1.4</v>
      </c>
      <c r="K114">
        <v>71</v>
      </c>
      <c r="L114">
        <v>1.4</v>
      </c>
      <c r="Q114">
        <v>71</v>
      </c>
      <c r="R114">
        <v>1.4</v>
      </c>
      <c r="U114">
        <v>15.8071839999999</v>
      </c>
      <c r="V114">
        <v>1.4</v>
      </c>
    </row>
    <row r="115" spans="1:22" x14ac:dyDescent="0.25">
      <c r="A115" t="s">
        <v>115</v>
      </c>
      <c r="B115">
        <f>_xlfn.XLOOKUP(A115,'Do podmianki'!A:A,'Do podmianki'!B:B,K115)</f>
        <v>4.2</v>
      </c>
      <c r="C115">
        <f>_xlfn.XLOOKUP(A115,'Do podmianki'!B:B,'Do podmianki'!C:C,L115)</f>
        <v>0</v>
      </c>
      <c r="K115">
        <v>4.2</v>
      </c>
      <c r="L115">
        <v>0</v>
      </c>
      <c r="Q115">
        <v>4.2</v>
      </c>
      <c r="R115">
        <v>0</v>
      </c>
      <c r="U115">
        <v>0.32761000000000001</v>
      </c>
      <c r="V115">
        <v>0</v>
      </c>
    </row>
    <row r="116" spans="1:22" x14ac:dyDescent="0.25">
      <c r="A116" t="s">
        <v>116</v>
      </c>
      <c r="B116">
        <f>_xlfn.XLOOKUP(A116,'Do podmianki'!A:A,'Do podmianki'!B:B,K116)</f>
        <v>4</v>
      </c>
      <c r="C116">
        <f>_xlfn.XLOOKUP(A116,'Do podmianki'!B:B,'Do podmianki'!C:C,L116)</f>
        <v>0.2</v>
      </c>
      <c r="K116">
        <v>4</v>
      </c>
      <c r="L116">
        <v>0.2</v>
      </c>
      <c r="Q116">
        <v>4</v>
      </c>
      <c r="R116">
        <v>0.2</v>
      </c>
      <c r="U116">
        <v>0.389569</v>
      </c>
      <c r="V116">
        <v>0.2</v>
      </c>
    </row>
    <row r="117" spans="1:22" x14ac:dyDescent="0.25">
      <c r="A117" t="s">
        <v>117</v>
      </c>
      <c r="B117">
        <f>_xlfn.XLOOKUP(A117,'Do podmianki'!A:A,'Do podmianki'!B:B,K117)</f>
        <v>5.2</v>
      </c>
      <c r="C117">
        <f>_xlfn.XLOOKUP(A117,'Do podmianki'!B:B,'Do podmianki'!C:C,L117)</f>
        <v>0.6</v>
      </c>
      <c r="K117">
        <v>5.2</v>
      </c>
      <c r="L117">
        <v>0.6</v>
      </c>
      <c r="Q117">
        <v>5.2</v>
      </c>
      <c r="R117">
        <v>0.6</v>
      </c>
      <c r="U117">
        <v>7.5077299999999996</v>
      </c>
      <c r="V117">
        <v>0.6</v>
      </c>
    </row>
    <row r="118" spans="1:22" x14ac:dyDescent="0.25">
      <c r="A118" t="s">
        <v>118</v>
      </c>
      <c r="B118">
        <f>_xlfn.XLOOKUP(A118,'Do podmianki'!A:A,'Do podmianki'!B:B,K118)</f>
        <v>5.3</v>
      </c>
      <c r="C118">
        <f>_xlfn.XLOOKUP(A118,'Do podmianki'!B:B,'Do podmianki'!C:C,L118)</f>
        <v>1</v>
      </c>
      <c r="K118">
        <v>5.3</v>
      </c>
      <c r="L118">
        <v>1</v>
      </c>
      <c r="Q118">
        <v>5.3</v>
      </c>
      <c r="R118">
        <v>1</v>
      </c>
      <c r="U118">
        <v>11.6028559999999</v>
      </c>
      <c r="V118">
        <v>1</v>
      </c>
    </row>
    <row r="119" spans="1:22" x14ac:dyDescent="0.25">
      <c r="A119" t="s">
        <v>119</v>
      </c>
      <c r="B119">
        <f>_xlfn.XLOOKUP(A119,'Do podmianki'!A:A,'Do podmianki'!B:B,K119)</f>
        <v>4.3</v>
      </c>
      <c r="C119">
        <f>_xlfn.XLOOKUP(A119,'Do podmianki'!B:B,'Do podmianki'!C:C,L119)</f>
        <v>1.8</v>
      </c>
      <c r="K119">
        <v>4.3</v>
      </c>
      <c r="L119">
        <v>1.8</v>
      </c>
      <c r="Q119">
        <v>4.3</v>
      </c>
      <c r="R119">
        <v>1.8</v>
      </c>
      <c r="U119">
        <v>21.158148000000001</v>
      </c>
      <c r="V119">
        <v>1.8</v>
      </c>
    </row>
    <row r="120" spans="1:22" x14ac:dyDescent="0.25">
      <c r="A120" t="s">
        <v>120</v>
      </c>
      <c r="B120">
        <f>_xlfn.XLOOKUP(A120,'Do podmianki'!A:A,'Do podmianki'!B:B,K120)</f>
        <v>9.4</v>
      </c>
      <c r="C120">
        <f>_xlfn.XLOOKUP(A120,'Do podmianki'!B:B,'Do podmianki'!C:C,L120)</f>
        <v>0.5</v>
      </c>
      <c r="K120">
        <v>9.4</v>
      </c>
      <c r="L120">
        <v>0.5</v>
      </c>
      <c r="Q120">
        <v>9.4</v>
      </c>
      <c r="R120">
        <v>0.5</v>
      </c>
      <c r="U120">
        <v>6.2791920000000001</v>
      </c>
      <c r="V120">
        <v>0.5</v>
      </c>
    </row>
    <row r="121" spans="1:22" x14ac:dyDescent="0.25">
      <c r="A121" t="s">
        <v>121</v>
      </c>
      <c r="B121">
        <f>_xlfn.XLOOKUP(A121,'Do podmianki'!A:A,'Do podmianki'!B:B,K121)</f>
        <v>7.8</v>
      </c>
      <c r="C121">
        <f>_xlfn.XLOOKUP(A121,'Do podmianki'!B:B,'Do podmianki'!C:C,L121)</f>
        <v>1</v>
      </c>
      <c r="K121">
        <v>7.8</v>
      </c>
      <c r="L121">
        <v>1</v>
      </c>
      <c r="Q121">
        <v>7.8</v>
      </c>
      <c r="R121">
        <v>1</v>
      </c>
      <c r="U121">
        <v>11.73936</v>
      </c>
      <c r="V121">
        <v>1</v>
      </c>
    </row>
    <row r="122" spans="1:22" x14ac:dyDescent="0.25">
      <c r="A122" t="s">
        <v>122</v>
      </c>
      <c r="B122">
        <f>_xlfn.XLOOKUP(A122,'Do podmianki'!A:A,'Do podmianki'!B:B,K122)</f>
        <v>5.2</v>
      </c>
      <c r="C122">
        <f>_xlfn.XLOOKUP(A122,'Do podmianki'!B:B,'Do podmianki'!C:C,L122)</f>
        <v>0.5</v>
      </c>
      <c r="K122">
        <v>5.2</v>
      </c>
      <c r="L122">
        <v>0.5</v>
      </c>
      <c r="Q122">
        <v>5.2</v>
      </c>
      <c r="R122">
        <v>0.5</v>
      </c>
      <c r="U122">
        <v>5.3236629999999998</v>
      </c>
      <c r="V122">
        <v>0.5</v>
      </c>
    </row>
    <row r="123" spans="1:22" x14ac:dyDescent="0.25">
      <c r="A123" t="s">
        <v>123</v>
      </c>
      <c r="B123">
        <f>_xlfn.XLOOKUP(A123,'Do podmianki'!A:A,'Do podmianki'!B:B,K123)</f>
        <v>4.0999999999999996</v>
      </c>
      <c r="C123">
        <f>_xlfn.XLOOKUP(A123,'Do podmianki'!B:B,'Do podmianki'!C:C,L123)</f>
        <v>2.2999999999999998</v>
      </c>
      <c r="K123">
        <v>4.0999999999999996</v>
      </c>
      <c r="L123">
        <v>2.2999999999999998</v>
      </c>
      <c r="Q123">
        <v>4.0999999999999996</v>
      </c>
      <c r="R123">
        <v>2.2999999999999998</v>
      </c>
      <c r="U123">
        <v>26.6183149999999</v>
      </c>
      <c r="V123">
        <v>2.2999999999999998</v>
      </c>
    </row>
    <row r="124" spans="1:22" x14ac:dyDescent="0.25">
      <c r="A124" t="s">
        <v>124</v>
      </c>
      <c r="B124">
        <f>_xlfn.XLOOKUP(A124,'Do podmianki'!A:A,'Do podmianki'!B:B,K124)</f>
        <v>4.7</v>
      </c>
      <c r="C124">
        <f>_xlfn.XLOOKUP(A124,'Do podmianki'!B:B,'Do podmianki'!C:C,L124)</f>
        <v>0.7</v>
      </c>
      <c r="K124">
        <v>4.7</v>
      </c>
      <c r="L124">
        <v>0.7</v>
      </c>
      <c r="Q124">
        <v>4.7</v>
      </c>
      <c r="R124">
        <v>0.7</v>
      </c>
      <c r="U124">
        <v>7.917243</v>
      </c>
      <c r="V124">
        <v>0.7</v>
      </c>
    </row>
    <row r="125" spans="1:22" x14ac:dyDescent="0.25">
      <c r="A125" t="s">
        <v>125</v>
      </c>
      <c r="B125">
        <f>_xlfn.XLOOKUP(A125,'Do podmianki'!A:A,'Do podmianki'!B:B,K125)</f>
        <v>9</v>
      </c>
      <c r="C125">
        <f>_xlfn.XLOOKUP(A125,'Do podmianki'!B:B,'Do podmianki'!C:C,L125)</f>
        <v>0.5</v>
      </c>
      <c r="K125">
        <v>9</v>
      </c>
      <c r="L125">
        <v>0.5</v>
      </c>
      <c r="Q125">
        <v>9</v>
      </c>
      <c r="R125">
        <v>0.5</v>
      </c>
      <c r="U125">
        <v>5.5966719999999999</v>
      </c>
      <c r="V125">
        <v>0.5</v>
      </c>
    </row>
    <row r="126" spans="1:22" x14ac:dyDescent="0.25">
      <c r="A126" t="s">
        <v>126</v>
      </c>
      <c r="B126">
        <f>_xlfn.XLOOKUP(A126,'Do podmianki'!A:A,'Do podmianki'!B:B,K126)</f>
        <v>10.8</v>
      </c>
      <c r="C126">
        <f>_xlfn.XLOOKUP(A126,'Do podmianki'!B:B,'Do podmianki'!C:C,L126)</f>
        <v>1.1000000000000001</v>
      </c>
      <c r="K126">
        <v>10.8</v>
      </c>
      <c r="L126">
        <v>1.1000000000000001</v>
      </c>
      <c r="Q126">
        <v>10.8</v>
      </c>
      <c r="R126">
        <v>1.1000000000000001</v>
      </c>
      <c r="U126">
        <v>12.5583849999999</v>
      </c>
      <c r="V126">
        <v>1.1000000000000001</v>
      </c>
    </row>
    <row r="127" spans="1:22" x14ac:dyDescent="0.25">
      <c r="A127" t="s">
        <v>127</v>
      </c>
      <c r="B127">
        <f>_xlfn.XLOOKUP(A127,'Do podmianki'!A:A,'Do podmianki'!B:B,K127)</f>
        <v>20</v>
      </c>
      <c r="C127">
        <f>_xlfn.XLOOKUP(A127,'Do podmianki'!B:B,'Do podmianki'!C:C,L127)</f>
        <v>4.0999999999999996</v>
      </c>
      <c r="K127">
        <v>20</v>
      </c>
      <c r="L127">
        <v>4.0999999999999996</v>
      </c>
      <c r="Q127">
        <v>20</v>
      </c>
      <c r="R127">
        <v>4.0999999999999996</v>
      </c>
      <c r="U127">
        <v>48.185977999999899</v>
      </c>
      <c r="V127">
        <v>4.0999999999999996</v>
      </c>
    </row>
    <row r="128" spans="1:22" x14ac:dyDescent="0.25">
      <c r="A128" t="s">
        <v>128</v>
      </c>
      <c r="B128">
        <f>_xlfn.XLOOKUP(A128,'Do podmianki'!A:A,'Do podmianki'!B:B,K128)</f>
        <v>4.3</v>
      </c>
      <c r="C128">
        <f>_xlfn.XLOOKUP(A128,'Do podmianki'!B:B,'Do podmianki'!C:C,L128)</f>
        <v>0.1</v>
      </c>
      <c r="K128">
        <v>4.3</v>
      </c>
      <c r="L128">
        <v>0.1</v>
      </c>
      <c r="Q128">
        <v>4.3</v>
      </c>
      <c r="R128">
        <v>0.1</v>
      </c>
      <c r="U128">
        <v>0.68252100000000004</v>
      </c>
      <c r="V128">
        <v>0.1</v>
      </c>
    </row>
    <row r="129" spans="1:22" x14ac:dyDescent="0.25">
      <c r="A129" t="s">
        <v>129</v>
      </c>
      <c r="B129">
        <f>_xlfn.XLOOKUP(A129,'Do podmianki'!A:A,'Do podmianki'!B:B,K129)</f>
        <v>7.2</v>
      </c>
      <c r="C129">
        <f>_xlfn.XLOOKUP(A129,'Do podmianki'!B:B,'Do podmianki'!C:C,L129)</f>
        <v>0.7</v>
      </c>
      <c r="K129">
        <v>7.2</v>
      </c>
      <c r="L129">
        <v>0.7</v>
      </c>
      <c r="Q129">
        <v>7.2</v>
      </c>
      <c r="R129">
        <v>0.7</v>
      </c>
      <c r="U129">
        <v>8.3267559999999996</v>
      </c>
      <c r="V129">
        <v>0.7</v>
      </c>
    </row>
    <row r="130" spans="1:22" x14ac:dyDescent="0.25">
      <c r="A130" t="s">
        <v>130</v>
      </c>
      <c r="B130">
        <f>_xlfn.XLOOKUP(A130,'Do podmianki'!A:A,'Do podmianki'!B:B,K130)</f>
        <v>8.9</v>
      </c>
      <c r="C130">
        <f>_xlfn.XLOOKUP(A130,'Do podmianki'!B:B,'Do podmianki'!C:C,L130)</f>
        <v>1.7</v>
      </c>
      <c r="K130">
        <v>8.9</v>
      </c>
      <c r="L130">
        <v>1.7</v>
      </c>
      <c r="Q130">
        <v>8.9</v>
      </c>
      <c r="R130">
        <v>1.7</v>
      </c>
      <c r="U130">
        <v>19.834057000000001</v>
      </c>
      <c r="V130">
        <v>1.7</v>
      </c>
    </row>
    <row r="131" spans="1:22" x14ac:dyDescent="0.25">
      <c r="A131" t="s">
        <v>131</v>
      </c>
      <c r="B131">
        <f>_xlfn.XLOOKUP(A131,'Do podmianki'!A:A,'Do podmianki'!B:B,K131)</f>
        <v>5.6</v>
      </c>
      <c r="C131">
        <f>_xlfn.XLOOKUP(A131,'Do podmianki'!B:B,'Do podmianki'!C:C,L131)</f>
        <v>0.3</v>
      </c>
      <c r="K131">
        <v>5.6</v>
      </c>
      <c r="L131">
        <v>0.3</v>
      </c>
      <c r="Q131">
        <v>5.6</v>
      </c>
      <c r="R131">
        <v>0.3</v>
      </c>
      <c r="U131">
        <v>3.8357679999999998</v>
      </c>
      <c r="V131">
        <v>0.3</v>
      </c>
    </row>
    <row r="132" spans="1:22" x14ac:dyDescent="0.25">
      <c r="A132" t="s">
        <v>132</v>
      </c>
      <c r="B132">
        <f>_xlfn.XLOOKUP(A132,'Do podmianki'!A:A,'Do podmianki'!B:B,K132)</f>
        <v>7.1</v>
      </c>
      <c r="C132">
        <f>_xlfn.XLOOKUP(A132,'Do podmianki'!B:B,'Do podmianki'!C:C,L132)</f>
        <v>0.8</v>
      </c>
      <c r="K132">
        <v>7.1</v>
      </c>
      <c r="L132">
        <v>0.8</v>
      </c>
      <c r="Q132">
        <v>7.1</v>
      </c>
      <c r="R132">
        <v>0.8</v>
      </c>
      <c r="U132">
        <v>9.4187890000000003</v>
      </c>
      <c r="V132">
        <v>0.8</v>
      </c>
    </row>
    <row r="133" spans="1:22" x14ac:dyDescent="0.25">
      <c r="A133" t="s">
        <v>133</v>
      </c>
      <c r="B133">
        <f>_xlfn.XLOOKUP(A133,'Do podmianki'!A:A,'Do podmianki'!B:B,K133)</f>
        <v>4.7</v>
      </c>
      <c r="C133">
        <f>_xlfn.XLOOKUP(A133,'Do podmianki'!B:B,'Do podmianki'!C:C,L133)</f>
        <v>0.2</v>
      </c>
      <c r="K133">
        <v>4.7</v>
      </c>
      <c r="L133">
        <v>0.2</v>
      </c>
      <c r="Q133">
        <v>4.7</v>
      </c>
      <c r="R133">
        <v>0.2</v>
      </c>
      <c r="U133">
        <v>1.9110590000000001</v>
      </c>
      <c r="V133">
        <v>0.2</v>
      </c>
    </row>
    <row r="134" spans="1:22" x14ac:dyDescent="0.25">
      <c r="A134" t="s">
        <v>134</v>
      </c>
      <c r="B134">
        <f>_xlfn.XLOOKUP(A134,'Do podmianki'!A:A,'Do podmianki'!B:B,K134)</f>
        <v>5</v>
      </c>
      <c r="C134">
        <f>_xlfn.XLOOKUP(A134,'Do podmianki'!B:B,'Do podmianki'!C:C,L134)</f>
        <v>0.1</v>
      </c>
      <c r="K134">
        <v>5</v>
      </c>
      <c r="L134">
        <v>0.1</v>
      </c>
      <c r="Q134">
        <v>5</v>
      </c>
      <c r="R134">
        <v>0.1</v>
      </c>
      <c r="U134">
        <v>1.3650420000000001</v>
      </c>
      <c r="V134">
        <v>0.1</v>
      </c>
    </row>
    <row r="135" spans="1:22" x14ac:dyDescent="0.25">
      <c r="A135" t="s">
        <v>135</v>
      </c>
      <c r="B135">
        <f>_xlfn.XLOOKUP(A135,'Do podmianki'!A:A,'Do podmianki'!B:B,K135)</f>
        <v>6.8</v>
      </c>
      <c r="C135">
        <f>_xlfn.XLOOKUP(A135,'Do podmianki'!B:B,'Do podmianki'!C:C,L135)</f>
        <v>0.3</v>
      </c>
      <c r="K135">
        <v>6.8</v>
      </c>
      <c r="L135">
        <v>0.3</v>
      </c>
      <c r="Q135">
        <v>6.8</v>
      </c>
      <c r="R135">
        <v>0.3</v>
      </c>
      <c r="U135">
        <v>3.0030920000000001</v>
      </c>
      <c r="V135">
        <v>0.3</v>
      </c>
    </row>
    <row r="136" spans="1:22" x14ac:dyDescent="0.25">
      <c r="A136" t="s">
        <v>136</v>
      </c>
      <c r="B136">
        <f>_xlfn.XLOOKUP(A136,'Do podmianki'!A:A,'Do podmianki'!B:B,K136)</f>
        <v>4.4000000000000004</v>
      </c>
      <c r="C136">
        <f>_xlfn.XLOOKUP(A136,'Do podmianki'!B:B,'Do podmianki'!C:C,L136)</f>
        <v>0.1</v>
      </c>
      <c r="K136">
        <v>4.4000000000000004</v>
      </c>
      <c r="L136">
        <v>0.1</v>
      </c>
      <c r="Q136">
        <v>4.4000000000000004</v>
      </c>
      <c r="R136">
        <v>0.1</v>
      </c>
      <c r="U136">
        <v>1.515196</v>
      </c>
      <c r="V136">
        <v>0.1</v>
      </c>
    </row>
    <row r="137" spans="1:22" x14ac:dyDescent="0.25">
      <c r="A137" t="s">
        <v>137</v>
      </c>
      <c r="B137">
        <f>_xlfn.XLOOKUP(A137,'Do podmianki'!A:A,'Do podmianki'!B:B,K137)</f>
        <v>16.2</v>
      </c>
      <c r="C137">
        <f>_xlfn.XLOOKUP(A137,'Do podmianki'!B:B,'Do podmianki'!C:C,L137)</f>
        <v>1.1000000000000001</v>
      </c>
      <c r="K137">
        <v>16.2</v>
      </c>
      <c r="L137">
        <v>1.1000000000000001</v>
      </c>
      <c r="Q137">
        <v>16.200001</v>
      </c>
      <c r="R137">
        <v>1.1000000000000001</v>
      </c>
      <c r="U137">
        <v>41.505130999999899</v>
      </c>
      <c r="V137">
        <v>1.1000000000000001</v>
      </c>
    </row>
    <row r="138" spans="1:22" x14ac:dyDescent="0.25">
      <c r="A138" t="s">
        <v>138</v>
      </c>
      <c r="B138">
        <f>_xlfn.XLOOKUP(A138,'Do podmianki'!A:A,'Do podmianki'!B:B,K138)</f>
        <v>4.3</v>
      </c>
      <c r="C138">
        <f>_xlfn.XLOOKUP(A138,'Do podmianki'!B:B,'Do podmianki'!C:C,L138)</f>
        <v>0.2</v>
      </c>
      <c r="K138">
        <v>4.3</v>
      </c>
      <c r="L138">
        <v>0.2</v>
      </c>
      <c r="Q138">
        <v>4.3</v>
      </c>
      <c r="R138">
        <v>0.2</v>
      </c>
      <c r="U138">
        <v>1.9110590000000001</v>
      </c>
      <c r="V138">
        <v>0.2</v>
      </c>
    </row>
    <row r="139" spans="1:22" x14ac:dyDescent="0.25">
      <c r="A139" t="s">
        <v>139</v>
      </c>
      <c r="B139">
        <f>_xlfn.XLOOKUP(A139,'Do podmianki'!A:A,'Do podmianki'!B:B,K139)</f>
        <v>27.8</v>
      </c>
      <c r="C139">
        <f>_xlfn.XLOOKUP(A139,'Do podmianki'!B:B,'Do podmianki'!C:C,L139)</f>
        <v>2.6</v>
      </c>
      <c r="K139">
        <v>27.8</v>
      </c>
      <c r="L139">
        <v>2.6</v>
      </c>
      <c r="Q139">
        <v>27.799999</v>
      </c>
      <c r="R139">
        <v>2.6</v>
      </c>
      <c r="U139">
        <v>29.757912000000001</v>
      </c>
      <c r="V139">
        <v>2.6</v>
      </c>
    </row>
    <row r="140" spans="1:22" x14ac:dyDescent="0.25">
      <c r="A140" t="s">
        <v>140</v>
      </c>
      <c r="B140">
        <f>_xlfn.XLOOKUP(A140,'Do podmianki'!A:A,'Do podmianki'!B:B,K140)</f>
        <v>70</v>
      </c>
      <c r="C140">
        <f>_xlfn.XLOOKUP(A140,'Do podmianki'!B:B,'Do podmianki'!C:C,L140)</f>
        <v>1.4</v>
      </c>
      <c r="K140">
        <v>70</v>
      </c>
      <c r="L140">
        <v>1.4</v>
      </c>
      <c r="Q140">
        <v>70</v>
      </c>
      <c r="R140">
        <v>1.4</v>
      </c>
      <c r="U140">
        <v>16.380503000000001</v>
      </c>
      <c r="V140">
        <v>1.4</v>
      </c>
    </row>
    <row r="141" spans="1:22" x14ac:dyDescent="0.25">
      <c r="A141" t="s">
        <v>141</v>
      </c>
      <c r="B141">
        <f>_xlfn.XLOOKUP(A141,'Do podmianki'!A:A,'Do podmianki'!B:B,K141)</f>
        <v>5.3</v>
      </c>
      <c r="C141">
        <f>_xlfn.XLOOKUP(A141,'Do podmianki'!B:B,'Do podmianki'!C:C,L141)</f>
        <v>0.3</v>
      </c>
      <c r="K141">
        <v>5.3</v>
      </c>
      <c r="L141">
        <v>0.3</v>
      </c>
      <c r="Q141">
        <v>5.3</v>
      </c>
      <c r="R141">
        <v>0.3</v>
      </c>
      <c r="U141">
        <v>4.0405239999999996</v>
      </c>
      <c r="V141">
        <v>0.3</v>
      </c>
    </row>
    <row r="142" spans="1:22" x14ac:dyDescent="0.25">
      <c r="A142" t="s">
        <v>142</v>
      </c>
      <c r="B142">
        <f>_xlfn.XLOOKUP(A142,'Do podmianki'!A:A,'Do podmianki'!B:B,K142)</f>
        <v>9.5</v>
      </c>
      <c r="C142">
        <f>_xlfn.XLOOKUP(A142,'Do podmianki'!B:B,'Do podmianki'!C:C,L142)</f>
        <v>2.7</v>
      </c>
      <c r="K142">
        <v>9.5</v>
      </c>
      <c r="L142">
        <v>2.7</v>
      </c>
      <c r="Q142">
        <v>9.5</v>
      </c>
      <c r="R142">
        <v>2.7</v>
      </c>
      <c r="U142">
        <v>30.986450000000001</v>
      </c>
      <c r="V142">
        <v>2.7</v>
      </c>
    </row>
    <row r="143" spans="1:22" x14ac:dyDescent="0.25">
      <c r="A143" t="s">
        <v>143</v>
      </c>
      <c r="B143">
        <f>_xlfn.XLOOKUP(A143,'Do podmianki'!A:A,'Do podmianki'!B:B,K143)</f>
        <v>4.5</v>
      </c>
      <c r="C143">
        <f>_xlfn.XLOOKUP(A143,'Do podmianki'!B:B,'Do podmianki'!C:C,L143)</f>
        <v>0.8</v>
      </c>
      <c r="K143">
        <v>4.5</v>
      </c>
      <c r="L143">
        <v>0.8</v>
      </c>
      <c r="Q143">
        <v>4.5</v>
      </c>
      <c r="R143">
        <v>0.8</v>
      </c>
      <c r="U143">
        <v>9.5552930000000007</v>
      </c>
      <c r="V143">
        <v>0.8</v>
      </c>
    </row>
    <row r="144" spans="1:22" x14ac:dyDescent="0.25">
      <c r="A144" t="s">
        <v>144</v>
      </c>
      <c r="B144">
        <f>_xlfn.XLOOKUP(A144,'Do podmianki'!A:A,'Do podmianki'!B:B,K144)</f>
        <v>4.3</v>
      </c>
      <c r="C144">
        <f>_xlfn.XLOOKUP(A144,'Do podmianki'!B:B,'Do podmianki'!C:C,L144)</f>
        <v>0.7</v>
      </c>
      <c r="K144">
        <v>4.3</v>
      </c>
      <c r="L144">
        <v>0.7</v>
      </c>
      <c r="Q144">
        <v>4.3</v>
      </c>
      <c r="R144">
        <v>0.7</v>
      </c>
      <c r="U144">
        <v>7.644234</v>
      </c>
      <c r="V144">
        <v>0.7</v>
      </c>
    </row>
    <row r="145" spans="1:22" x14ac:dyDescent="0.25">
      <c r="A145" t="s">
        <v>145</v>
      </c>
      <c r="B145">
        <f>_xlfn.XLOOKUP(A145,'Do podmianki'!A:A,'Do podmianki'!B:B,K145)</f>
        <v>8.6</v>
      </c>
      <c r="C145">
        <f>_xlfn.XLOOKUP(A145,'Do podmianki'!B:B,'Do podmianki'!C:C,L145)</f>
        <v>1.4</v>
      </c>
      <c r="K145">
        <v>8.6</v>
      </c>
      <c r="L145">
        <v>1.4</v>
      </c>
      <c r="Q145">
        <v>8.6</v>
      </c>
      <c r="R145">
        <v>1.4</v>
      </c>
      <c r="U145">
        <v>15.834485000000001</v>
      </c>
      <c r="V145">
        <v>1.4</v>
      </c>
    </row>
    <row r="146" spans="1:22" x14ac:dyDescent="0.25">
      <c r="A146" t="s">
        <v>146</v>
      </c>
      <c r="B146">
        <f>_xlfn.XLOOKUP(A146,'Do podmianki'!A:A,'Do podmianki'!B:B,K146)</f>
        <v>11.3</v>
      </c>
      <c r="C146">
        <f>_xlfn.XLOOKUP(A146,'Do podmianki'!B:B,'Do podmianki'!C:C,L146)</f>
        <v>0.7</v>
      </c>
      <c r="K146">
        <v>11.3</v>
      </c>
      <c r="L146">
        <v>0.7</v>
      </c>
      <c r="Q146">
        <v>11.3</v>
      </c>
      <c r="R146">
        <v>0.7</v>
      </c>
      <c r="U146">
        <v>7.7807380000000004</v>
      </c>
      <c r="V146">
        <v>0.7</v>
      </c>
    </row>
    <row r="147" spans="1:22" x14ac:dyDescent="0.25">
      <c r="A147" t="s">
        <v>147</v>
      </c>
      <c r="B147">
        <f>_xlfn.XLOOKUP(A147,'Do podmianki'!A:A,'Do podmianki'!B:B,K147)</f>
        <v>14.1</v>
      </c>
      <c r="C147">
        <f>_xlfn.XLOOKUP(A147,'Do podmianki'!B:B,'Do podmianki'!C:C,L147)</f>
        <v>2.6</v>
      </c>
      <c r="K147">
        <v>14.1</v>
      </c>
      <c r="L147">
        <v>2.6</v>
      </c>
      <c r="Q147">
        <v>14.1</v>
      </c>
      <c r="R147">
        <v>2.6</v>
      </c>
      <c r="U147">
        <v>30.576937000000001</v>
      </c>
      <c r="V147">
        <v>2.6</v>
      </c>
    </row>
    <row r="148" spans="1:22" x14ac:dyDescent="0.25">
      <c r="A148" t="s">
        <v>148</v>
      </c>
      <c r="B148">
        <f>_xlfn.XLOOKUP(A148,'Do podmianki'!A:A,'Do podmianki'!B:B,K148)</f>
        <v>23.5</v>
      </c>
      <c r="C148">
        <f>_xlfn.XLOOKUP(A148,'Do podmianki'!B:B,'Do podmianki'!C:C,L148)</f>
        <v>2.4</v>
      </c>
      <c r="K148">
        <v>23.5</v>
      </c>
      <c r="L148">
        <v>2.4</v>
      </c>
      <c r="Q148">
        <v>23.5</v>
      </c>
      <c r="R148">
        <v>2.4</v>
      </c>
      <c r="U148">
        <v>28.392869999999899</v>
      </c>
      <c r="V148">
        <v>2.4</v>
      </c>
    </row>
    <row r="149" spans="1:22" x14ac:dyDescent="0.25">
      <c r="A149" t="s">
        <v>149</v>
      </c>
      <c r="B149">
        <f>_xlfn.XLOOKUP(A149,'Do podmianki'!A:A,'Do podmianki'!B:B,K149)</f>
        <v>4.8</v>
      </c>
      <c r="C149">
        <f>_xlfn.XLOOKUP(A149,'Do podmianki'!B:B,'Do podmianki'!C:C,L149)</f>
        <v>0.9</v>
      </c>
      <c r="K149">
        <v>4.8</v>
      </c>
      <c r="L149">
        <v>0.9</v>
      </c>
      <c r="Q149">
        <v>4.8</v>
      </c>
      <c r="R149">
        <v>0.9</v>
      </c>
      <c r="U149">
        <v>10.10131</v>
      </c>
      <c r="V149">
        <v>0.9</v>
      </c>
    </row>
    <row r="150" spans="1:22" x14ac:dyDescent="0.25">
      <c r="A150" t="s">
        <v>150</v>
      </c>
      <c r="B150">
        <f>_xlfn.XLOOKUP(A150,'Do podmianki'!A:A,'Do podmianki'!B:B,K150)</f>
        <v>5.6</v>
      </c>
      <c r="C150">
        <f>_xlfn.XLOOKUP(A150,'Do podmianki'!B:B,'Do podmianki'!C:C,L150)</f>
        <v>0.2</v>
      </c>
      <c r="K150">
        <v>5.6</v>
      </c>
      <c r="L150">
        <v>0.2</v>
      </c>
      <c r="Q150">
        <v>5.6</v>
      </c>
      <c r="R150">
        <v>0.2</v>
      </c>
      <c r="U150">
        <v>2.6754820000000001</v>
      </c>
      <c r="V150">
        <v>0.2</v>
      </c>
    </row>
    <row r="151" spans="1:22" x14ac:dyDescent="0.25">
      <c r="A151" t="s">
        <v>151</v>
      </c>
      <c r="B151">
        <f>_xlfn.XLOOKUP(A151,'Do podmianki'!A:A,'Do podmianki'!B:B,K151)</f>
        <v>4</v>
      </c>
      <c r="C151">
        <f>_xlfn.XLOOKUP(A151,'Do podmianki'!B:B,'Do podmianki'!C:C,L151)</f>
        <v>0.3</v>
      </c>
      <c r="K151">
        <v>4</v>
      </c>
      <c r="L151">
        <v>0.3</v>
      </c>
      <c r="Q151">
        <v>4</v>
      </c>
      <c r="R151">
        <v>0.3</v>
      </c>
      <c r="U151">
        <v>3.5764100000000001</v>
      </c>
      <c r="V151">
        <v>0.3</v>
      </c>
    </row>
    <row r="152" spans="1:22" x14ac:dyDescent="0.25">
      <c r="A152" t="s">
        <v>152</v>
      </c>
      <c r="B152">
        <f>_xlfn.XLOOKUP(A152,'Do podmianki'!A:A,'Do podmianki'!B:B,K152)</f>
        <v>6.6</v>
      </c>
      <c r="C152">
        <f>_xlfn.XLOOKUP(A152,'Do podmianki'!B:B,'Do podmianki'!C:C,L152)</f>
        <v>0.3</v>
      </c>
      <c r="K152">
        <v>6.6</v>
      </c>
      <c r="L152">
        <v>0.3</v>
      </c>
      <c r="Q152">
        <v>6.6</v>
      </c>
      <c r="R152">
        <v>0.3</v>
      </c>
      <c r="U152">
        <v>3.822117</v>
      </c>
      <c r="V152">
        <v>0.3</v>
      </c>
    </row>
    <row r="153" spans="1:22" x14ac:dyDescent="0.25">
      <c r="A153" t="s">
        <v>153</v>
      </c>
      <c r="B153">
        <f>_xlfn.XLOOKUP(A153,'Do podmianki'!A:A,'Do podmianki'!B:B,K153)</f>
        <v>8.8000000000000007</v>
      </c>
      <c r="C153">
        <f>_xlfn.XLOOKUP(A153,'Do podmianki'!B:B,'Do podmianki'!C:C,L153)</f>
        <v>0.4</v>
      </c>
      <c r="K153">
        <v>8.8000000000000007</v>
      </c>
      <c r="L153">
        <v>0.4</v>
      </c>
      <c r="Q153">
        <v>8.8000000000000007</v>
      </c>
      <c r="R153">
        <v>0.4</v>
      </c>
      <c r="U153">
        <v>5.0506549999999999</v>
      </c>
      <c r="V153">
        <v>0.4</v>
      </c>
    </row>
    <row r="154" spans="1:22" x14ac:dyDescent="0.25">
      <c r="A154" t="s">
        <v>154</v>
      </c>
      <c r="B154">
        <f>_xlfn.XLOOKUP(A154,'Do podmianki'!A:A,'Do podmianki'!B:B,K154)</f>
        <v>7.4</v>
      </c>
      <c r="C154">
        <f>_xlfn.XLOOKUP(A154,'Do podmianki'!B:B,'Do podmianki'!C:C,L154)</f>
        <v>0.5</v>
      </c>
      <c r="K154">
        <v>7.4</v>
      </c>
      <c r="L154">
        <v>0.5</v>
      </c>
      <c r="Q154">
        <v>7.4</v>
      </c>
      <c r="R154">
        <v>0.5</v>
      </c>
      <c r="U154">
        <v>6.0334849999999998</v>
      </c>
      <c r="V154">
        <v>0.5</v>
      </c>
    </row>
    <row r="155" spans="1:22" x14ac:dyDescent="0.25">
      <c r="A155" t="s">
        <v>155</v>
      </c>
      <c r="B155">
        <f>_xlfn.XLOOKUP(A155,'Do podmianki'!A:A,'Do podmianki'!B:B,K155)</f>
        <v>13.8</v>
      </c>
      <c r="C155">
        <f>_xlfn.XLOOKUP(A155,'Do podmianki'!B:B,'Do podmianki'!C:C,L155)</f>
        <v>1.1000000000000001</v>
      </c>
      <c r="K155">
        <v>13.8</v>
      </c>
      <c r="L155">
        <v>1.1000000000000001</v>
      </c>
      <c r="Q155">
        <v>13.8</v>
      </c>
      <c r="R155">
        <v>1.1000000000000001</v>
      </c>
      <c r="U155">
        <v>13.104402</v>
      </c>
      <c r="V155">
        <v>1.1000000000000001</v>
      </c>
    </row>
    <row r="156" spans="1:22" x14ac:dyDescent="0.25">
      <c r="A156" t="s">
        <v>156</v>
      </c>
      <c r="B156">
        <f>_xlfn.XLOOKUP(A156,'Do podmianki'!A:A,'Do podmianki'!B:B,K156)</f>
        <v>9.1999999999999993</v>
      </c>
      <c r="C156">
        <f>_xlfn.XLOOKUP(A156,'Do podmianki'!B:B,'Do podmianki'!C:C,L156)</f>
        <v>0.8</v>
      </c>
      <c r="K156">
        <v>9.1999999999999993</v>
      </c>
      <c r="L156">
        <v>0.8</v>
      </c>
      <c r="Q156">
        <v>9.1999999999999993</v>
      </c>
      <c r="R156">
        <v>0.8</v>
      </c>
      <c r="U156">
        <v>9.0092759999999998</v>
      </c>
      <c r="V156">
        <v>0.8</v>
      </c>
    </row>
    <row r="157" spans="1:22" x14ac:dyDescent="0.25">
      <c r="A157" t="s">
        <v>157</v>
      </c>
      <c r="B157">
        <f>_xlfn.XLOOKUP(A157,'Do podmianki'!A:A,'Do podmianki'!B:B,K157)</f>
        <v>5.9</v>
      </c>
      <c r="C157">
        <f>_xlfn.XLOOKUP(A157,'Do podmianki'!B:B,'Do podmianki'!C:C,L157)</f>
        <v>0.8</v>
      </c>
      <c r="K157">
        <v>5.9</v>
      </c>
      <c r="L157">
        <v>0.8</v>
      </c>
      <c r="Q157">
        <v>5.9</v>
      </c>
      <c r="R157">
        <v>0.8</v>
      </c>
      <c r="U157">
        <v>8.9601349999999904</v>
      </c>
      <c r="V157">
        <v>0.8</v>
      </c>
    </row>
    <row r="158" spans="1:22" x14ac:dyDescent="0.25">
      <c r="A158" t="s">
        <v>158</v>
      </c>
      <c r="B158">
        <f>_xlfn.XLOOKUP(A158,'Do podmianki'!A:A,'Do podmianki'!B:B,K158)</f>
        <v>6.2</v>
      </c>
      <c r="C158">
        <f>_xlfn.XLOOKUP(A158,'Do podmianki'!B:B,'Do podmianki'!C:C,L158)</f>
        <v>0.2</v>
      </c>
      <c r="K158">
        <v>6.2</v>
      </c>
      <c r="L158">
        <v>0.2</v>
      </c>
      <c r="Q158">
        <v>6.2</v>
      </c>
      <c r="R158">
        <v>0.2</v>
      </c>
      <c r="U158">
        <v>2.3751730000000002</v>
      </c>
      <c r="V158">
        <v>0.2</v>
      </c>
    </row>
    <row r="159" spans="1:22" x14ac:dyDescent="0.25">
      <c r="A159" t="s">
        <v>159</v>
      </c>
      <c r="B159">
        <f>_xlfn.XLOOKUP(A159,'Do podmianki'!A:A,'Do podmianki'!B:B,K159)</f>
        <v>5.4</v>
      </c>
      <c r="C159">
        <f>_xlfn.XLOOKUP(A159,'Do podmianki'!B:B,'Do podmianki'!C:C,L159)</f>
        <v>0.2</v>
      </c>
      <c r="K159">
        <v>5.4</v>
      </c>
      <c r="L159">
        <v>0.2</v>
      </c>
      <c r="Q159">
        <v>5.4</v>
      </c>
      <c r="R159">
        <v>0.2</v>
      </c>
      <c r="U159">
        <v>2.1567660000000002</v>
      </c>
      <c r="V159">
        <v>0.2</v>
      </c>
    </row>
    <row r="160" spans="1:22" x14ac:dyDescent="0.25">
      <c r="A160" t="s">
        <v>160</v>
      </c>
      <c r="B160">
        <f>_xlfn.XLOOKUP(A160,'Do podmianki'!A:A,'Do podmianki'!B:B,K160)</f>
        <v>8.4</v>
      </c>
      <c r="C160">
        <f>_xlfn.XLOOKUP(A160,'Do podmianki'!B:B,'Do podmianki'!C:C,L160)</f>
        <v>0.5</v>
      </c>
      <c r="K160">
        <v>8.4</v>
      </c>
      <c r="L160">
        <v>0.5</v>
      </c>
      <c r="Q160">
        <v>8.4</v>
      </c>
      <c r="R160">
        <v>0.5</v>
      </c>
      <c r="U160">
        <v>5.4465170000000001</v>
      </c>
      <c r="V160">
        <v>0.5</v>
      </c>
    </row>
    <row r="161" spans="1:22" x14ac:dyDescent="0.25">
      <c r="A161" t="s">
        <v>161</v>
      </c>
      <c r="B161">
        <f>_xlfn.XLOOKUP(A161,'Do podmianki'!A:A,'Do podmianki'!B:B,K161)</f>
        <v>8.1999999999999993</v>
      </c>
      <c r="C161">
        <f>_xlfn.XLOOKUP(A161,'Do podmianki'!B:B,'Do podmianki'!C:C,L161)</f>
        <v>0.8</v>
      </c>
      <c r="K161">
        <v>8.1999999999999993</v>
      </c>
      <c r="L161">
        <v>0.8</v>
      </c>
      <c r="Q161">
        <v>8.1999999999999993</v>
      </c>
      <c r="R161">
        <v>0.8</v>
      </c>
      <c r="U161">
        <v>9.1048290000000005</v>
      </c>
      <c r="V161">
        <v>0.8</v>
      </c>
    </row>
    <row r="162" spans="1:22" x14ac:dyDescent="0.25">
      <c r="A162" t="s">
        <v>162</v>
      </c>
      <c r="B162">
        <f>_xlfn.XLOOKUP(A162,'Do podmianki'!A:A,'Do podmianki'!B:B,K162)</f>
        <v>4.8</v>
      </c>
      <c r="C162">
        <f>_xlfn.XLOOKUP(A162,'Do podmianki'!B:B,'Do podmianki'!C:C,L162)</f>
        <v>1</v>
      </c>
      <c r="K162">
        <v>4.8</v>
      </c>
      <c r="L162">
        <v>1</v>
      </c>
      <c r="Q162">
        <v>4.8</v>
      </c>
      <c r="R162">
        <v>1</v>
      </c>
      <c r="U162">
        <v>11.398099</v>
      </c>
      <c r="V162">
        <v>1</v>
      </c>
    </row>
    <row r="163" spans="1:22" x14ac:dyDescent="0.25">
      <c r="A163" t="s">
        <v>163</v>
      </c>
      <c r="B163">
        <f>_xlfn.XLOOKUP(A163,'Do podmianki'!A:A,'Do podmianki'!B:B,K163)</f>
        <v>6.1</v>
      </c>
      <c r="C163">
        <f>_xlfn.XLOOKUP(A163,'Do podmianki'!B:B,'Do podmianki'!C:C,L163)</f>
        <v>1.1000000000000001</v>
      </c>
      <c r="K163">
        <v>6.1</v>
      </c>
      <c r="L163">
        <v>1.1000000000000001</v>
      </c>
      <c r="Q163">
        <v>6.1</v>
      </c>
      <c r="R163">
        <v>1.1000000000000001</v>
      </c>
      <c r="U163">
        <v>12.285377</v>
      </c>
      <c r="V163">
        <v>1.1000000000000001</v>
      </c>
    </row>
    <row r="164" spans="1:22" x14ac:dyDescent="0.25">
      <c r="A164" t="s">
        <v>164</v>
      </c>
      <c r="B164">
        <f>_xlfn.XLOOKUP(A164,'Do podmianki'!A:A,'Do podmianki'!B:B,K164)</f>
        <v>13.3</v>
      </c>
      <c r="C164">
        <f>_xlfn.XLOOKUP(A164,'Do podmianki'!B:B,'Do podmianki'!C:C,L164)</f>
        <v>1.7</v>
      </c>
      <c r="K164">
        <v>13.3</v>
      </c>
      <c r="L164">
        <v>1.7</v>
      </c>
      <c r="Q164">
        <v>13.3</v>
      </c>
      <c r="R164">
        <v>1.7</v>
      </c>
      <c r="U164">
        <v>20.20262</v>
      </c>
      <c r="V164">
        <v>1.7</v>
      </c>
    </row>
    <row r="165" spans="1:22" x14ac:dyDescent="0.25">
      <c r="A165" t="s">
        <v>165</v>
      </c>
      <c r="B165">
        <f>_xlfn.XLOOKUP(A165,'Do podmianki'!A:A,'Do podmianki'!B:B,K165)</f>
        <v>13.6</v>
      </c>
      <c r="C165">
        <f>_xlfn.XLOOKUP(A165,'Do podmianki'!B:B,'Do podmianki'!C:C,L165)</f>
        <v>0.9</v>
      </c>
      <c r="K165">
        <v>13.6</v>
      </c>
      <c r="L165">
        <v>0.9</v>
      </c>
      <c r="Q165">
        <v>13.6</v>
      </c>
      <c r="R165">
        <v>0.9</v>
      </c>
      <c r="U165">
        <v>10.6200259999999</v>
      </c>
      <c r="V165">
        <v>0.9</v>
      </c>
    </row>
    <row r="166" spans="1:22" x14ac:dyDescent="0.25">
      <c r="A166" t="s">
        <v>166</v>
      </c>
      <c r="B166">
        <f>_xlfn.XLOOKUP(A166,'Do podmianki'!A:A,'Do podmianki'!B:B,K166)</f>
        <v>6.4</v>
      </c>
      <c r="C166">
        <f>_xlfn.XLOOKUP(A166,'Do podmianki'!B:B,'Do podmianki'!C:C,L166)</f>
        <v>0.4</v>
      </c>
      <c r="K166">
        <v>6.4</v>
      </c>
      <c r="L166">
        <v>0.4</v>
      </c>
      <c r="Q166">
        <v>6.4</v>
      </c>
      <c r="R166">
        <v>0.4</v>
      </c>
      <c r="U166">
        <v>4.3681340000000004</v>
      </c>
      <c r="V166">
        <v>0.4</v>
      </c>
    </row>
    <row r="167" spans="1:22" x14ac:dyDescent="0.25">
      <c r="A167" t="s">
        <v>167</v>
      </c>
      <c r="B167">
        <f>_xlfn.XLOOKUP(A167,'Do podmianki'!A:A,'Do podmianki'!B:B,K167)</f>
        <v>4.7</v>
      </c>
      <c r="C167">
        <f>_xlfn.XLOOKUP(A167,'Do podmianki'!B:B,'Do podmianki'!C:C,L167)</f>
        <v>0.1</v>
      </c>
      <c r="K167">
        <v>4.7</v>
      </c>
      <c r="L167">
        <v>0.1</v>
      </c>
      <c r="Q167">
        <v>4.7</v>
      </c>
      <c r="R167">
        <v>0.1</v>
      </c>
      <c r="U167">
        <v>1.3650420000000001</v>
      </c>
      <c r="V167">
        <v>0.1</v>
      </c>
    </row>
    <row r="168" spans="1:22" x14ac:dyDescent="0.25">
      <c r="A168" t="s">
        <v>168</v>
      </c>
      <c r="B168">
        <v>30</v>
      </c>
      <c r="C168">
        <f>_xlfn.XLOOKUP(A168,'Do podmianki'!B:B,'Do podmianki'!C:C,L168)</f>
        <v>0.6</v>
      </c>
      <c r="K168">
        <v>1</v>
      </c>
      <c r="L168">
        <v>0.6</v>
      </c>
      <c r="Q168">
        <v>1</v>
      </c>
      <c r="R168">
        <v>0.6</v>
      </c>
      <c r="U168">
        <v>6.770607</v>
      </c>
      <c r="V168">
        <v>0.6</v>
      </c>
    </row>
    <row r="169" spans="1:22" x14ac:dyDescent="0.25">
      <c r="A169" t="s">
        <v>169</v>
      </c>
      <c r="B169">
        <f>_xlfn.XLOOKUP(A169,'Do podmianki'!A:A,'Do podmianki'!B:B,K169)</f>
        <v>4.4000000000000004</v>
      </c>
      <c r="C169">
        <f>_xlfn.XLOOKUP(A169,'Do podmianki'!B:B,'Do podmianki'!C:C,L169)</f>
        <v>0.3</v>
      </c>
      <c r="K169">
        <v>4.4000000000000004</v>
      </c>
      <c r="L169">
        <v>0.3</v>
      </c>
      <c r="Q169">
        <v>4.4000000000000004</v>
      </c>
      <c r="R169">
        <v>0.3</v>
      </c>
      <c r="U169">
        <v>0.627919</v>
      </c>
      <c r="V169">
        <v>0.3</v>
      </c>
    </row>
    <row r="170" spans="1:22" x14ac:dyDescent="0.25">
      <c r="A170" t="s">
        <v>170</v>
      </c>
      <c r="B170">
        <f>_xlfn.XLOOKUP(A170,'Do podmianki'!A:A,'Do podmianki'!B:B,K170)</f>
        <v>16.3</v>
      </c>
      <c r="C170">
        <f>_xlfn.XLOOKUP(A170,'Do podmianki'!B:B,'Do podmianki'!C:C,L170)</f>
        <v>0.1</v>
      </c>
      <c r="K170">
        <v>16.3</v>
      </c>
      <c r="L170">
        <v>0.1</v>
      </c>
      <c r="Q170">
        <v>16.299999</v>
      </c>
      <c r="R170">
        <v>0.1</v>
      </c>
      <c r="U170">
        <v>18.673773000000001</v>
      </c>
      <c r="V170">
        <v>0.1</v>
      </c>
    </row>
    <row r="171" spans="1:22" x14ac:dyDescent="0.25">
      <c r="A171" t="s">
        <v>171</v>
      </c>
      <c r="B171">
        <f>_xlfn.XLOOKUP(A171,'Do podmianki'!A:A,'Do podmianki'!B:B,K171)</f>
        <v>6.1</v>
      </c>
      <c r="C171">
        <f>_xlfn.XLOOKUP(A171,'Do podmianki'!B:B,'Do podmianki'!C:C,L171)</f>
        <v>1.6</v>
      </c>
      <c r="K171">
        <v>6.1</v>
      </c>
      <c r="L171">
        <v>1.6</v>
      </c>
      <c r="Q171">
        <v>6.1</v>
      </c>
      <c r="R171">
        <v>1.6</v>
      </c>
      <c r="U171">
        <v>4.1906790000000003</v>
      </c>
      <c r="V171">
        <v>1.6</v>
      </c>
    </row>
    <row r="172" spans="1:22" x14ac:dyDescent="0.25">
      <c r="A172" t="s">
        <v>172</v>
      </c>
      <c r="B172">
        <f>_xlfn.XLOOKUP(A172,'Do podmianki'!A:A,'Do podmianki'!B:B,K172)</f>
        <v>5.5</v>
      </c>
      <c r="C172">
        <f>_xlfn.XLOOKUP(A172,'Do podmianki'!B:B,'Do podmianki'!C:C,L172)</f>
        <v>0.4</v>
      </c>
      <c r="K172">
        <v>5.5</v>
      </c>
      <c r="L172">
        <v>0.4</v>
      </c>
      <c r="Q172">
        <v>5.5</v>
      </c>
      <c r="R172">
        <v>0.4</v>
      </c>
      <c r="U172">
        <v>11.3298469999999</v>
      </c>
      <c r="V172">
        <v>0.4</v>
      </c>
    </row>
    <row r="173" spans="1:22" x14ac:dyDescent="0.25">
      <c r="A173" t="s">
        <v>173</v>
      </c>
      <c r="B173">
        <f>_xlfn.XLOOKUP(A173,'Do podmianki'!A:A,'Do podmianki'!B:B,K173)</f>
        <v>9.6999999999999993</v>
      </c>
      <c r="C173">
        <f>_xlfn.XLOOKUP(A173,'Do podmianki'!B:B,'Do podmianki'!C:C,L173)</f>
        <v>1</v>
      </c>
      <c r="K173">
        <v>9.6999999999999993</v>
      </c>
      <c r="L173">
        <v>1</v>
      </c>
      <c r="Q173">
        <v>9.6999999999999993</v>
      </c>
      <c r="R173">
        <v>1</v>
      </c>
      <c r="U173">
        <v>8.5997640000000004</v>
      </c>
      <c r="V173">
        <v>1</v>
      </c>
    </row>
    <row r="174" spans="1:22" x14ac:dyDescent="0.25">
      <c r="A174" t="s">
        <v>174</v>
      </c>
      <c r="B174">
        <f>_xlfn.XLOOKUP(A174,'Do podmianki'!A:A,'Do podmianki'!B:B,K174)</f>
        <v>5.8</v>
      </c>
      <c r="C174">
        <f>_xlfn.XLOOKUP(A174,'Do podmianki'!B:B,'Do podmianki'!C:C,L174)</f>
        <v>0.7</v>
      </c>
      <c r="K174">
        <v>5.8</v>
      </c>
      <c r="L174">
        <v>0.7</v>
      </c>
      <c r="Q174">
        <v>5.8</v>
      </c>
      <c r="R174">
        <v>0.7</v>
      </c>
      <c r="U174">
        <v>2.6754820000000001</v>
      </c>
      <c r="V174">
        <v>0.7</v>
      </c>
    </row>
    <row r="175" spans="1:22" x14ac:dyDescent="0.25">
      <c r="A175" t="s">
        <v>175</v>
      </c>
      <c r="B175">
        <f>_xlfn.XLOOKUP(A175,'Do podmianki'!A:A,'Do podmianki'!B:B,K175)</f>
        <v>9</v>
      </c>
      <c r="C175">
        <f>_xlfn.XLOOKUP(A175,'Do podmianki'!B:B,'Do podmianki'!C:C,L175)</f>
        <v>0.2</v>
      </c>
      <c r="K175">
        <v>9</v>
      </c>
      <c r="L175">
        <v>0.2</v>
      </c>
      <c r="Q175">
        <v>9</v>
      </c>
      <c r="R175">
        <v>0.2</v>
      </c>
      <c r="U175">
        <v>3.5764100000000001</v>
      </c>
      <c r="V175">
        <v>0.2</v>
      </c>
    </row>
    <row r="176" spans="1:22" x14ac:dyDescent="0.25">
      <c r="A176" t="s">
        <v>176</v>
      </c>
      <c r="B176">
        <f>_xlfn.XLOOKUP(A176,'Do podmianki'!A:A,'Do podmianki'!B:B,K176)</f>
        <v>59.1</v>
      </c>
      <c r="C176">
        <f>_xlfn.XLOOKUP(A176,'Do podmianki'!B:B,'Do podmianki'!C:C,L176)</f>
        <v>0.3</v>
      </c>
      <c r="K176">
        <v>59.1</v>
      </c>
      <c r="L176">
        <v>0.3</v>
      </c>
      <c r="Q176">
        <v>6.1</v>
      </c>
      <c r="R176">
        <v>0.3</v>
      </c>
      <c r="U176">
        <v>2.4843760000000001</v>
      </c>
      <c r="V176">
        <v>0.3</v>
      </c>
    </row>
    <row r="177" spans="1:22" x14ac:dyDescent="0.25">
      <c r="A177" t="s">
        <v>177</v>
      </c>
      <c r="B177">
        <f>_xlfn.XLOOKUP(A177,'Do podmianki'!A:A,'Do podmianki'!B:B,K177)</f>
        <v>5</v>
      </c>
      <c r="C177">
        <f>_xlfn.XLOOKUP(A177,'Do podmianki'!B:B,'Do podmianki'!C:C,L177)</f>
        <v>0.2</v>
      </c>
      <c r="K177">
        <v>5</v>
      </c>
      <c r="L177">
        <v>0.2</v>
      </c>
      <c r="Q177">
        <v>5</v>
      </c>
      <c r="R177">
        <v>0.2</v>
      </c>
      <c r="U177">
        <v>1.924709</v>
      </c>
      <c r="V177">
        <v>0.2</v>
      </c>
    </row>
    <row r="178" spans="1:22" x14ac:dyDescent="0.25">
      <c r="A178" t="s">
        <v>178</v>
      </c>
      <c r="B178">
        <f>_xlfn.XLOOKUP(A178,'Do podmianki'!A:A,'Do podmianki'!B:B,K178)</f>
        <v>4.8</v>
      </c>
      <c r="C178">
        <f>_xlfn.XLOOKUP(A178,'Do podmianki'!B:B,'Do podmianki'!C:C,L178)</f>
        <v>0.2</v>
      </c>
      <c r="K178">
        <v>4.8</v>
      </c>
      <c r="L178">
        <v>0.2</v>
      </c>
      <c r="Q178">
        <v>4.8</v>
      </c>
      <c r="R178">
        <v>0.2</v>
      </c>
      <c r="U178">
        <v>2.6754820000000001</v>
      </c>
      <c r="V178">
        <v>0.2</v>
      </c>
    </row>
    <row r="179" spans="1:22" x14ac:dyDescent="0.25">
      <c r="A179" t="s">
        <v>179</v>
      </c>
      <c r="B179">
        <f>_xlfn.XLOOKUP(A179,'Do podmianki'!A:A,'Do podmianki'!B:B,K179)</f>
        <v>6.8</v>
      </c>
      <c r="C179">
        <f>_xlfn.XLOOKUP(A179,'Do podmianki'!B:B,'Do podmianki'!C:C,L179)</f>
        <v>0.2</v>
      </c>
      <c r="K179">
        <v>6.8</v>
      </c>
      <c r="L179">
        <v>0.2</v>
      </c>
      <c r="Q179">
        <v>6.8</v>
      </c>
      <c r="R179">
        <v>0.2</v>
      </c>
      <c r="U179">
        <v>3.5764100000000001</v>
      </c>
      <c r="V179">
        <v>0.2</v>
      </c>
    </row>
    <row r="180" spans="1:22" x14ac:dyDescent="0.25">
      <c r="A180" t="s">
        <v>180</v>
      </c>
      <c r="B180">
        <f>_xlfn.XLOOKUP(A180,'Do podmianki'!A:A,'Do podmianki'!B:B,K180)</f>
        <v>48.4</v>
      </c>
      <c r="C180">
        <f>_xlfn.XLOOKUP(A180,'Do podmianki'!B:B,'Do podmianki'!C:C,L180)</f>
        <v>0.3</v>
      </c>
      <c r="K180">
        <v>48.4</v>
      </c>
      <c r="L180">
        <v>0.3</v>
      </c>
      <c r="Q180">
        <v>48.400002000000001</v>
      </c>
      <c r="R180">
        <v>0.3</v>
      </c>
      <c r="U180">
        <v>73.029739000000006</v>
      </c>
      <c r="V180">
        <v>0.3</v>
      </c>
    </row>
    <row r="181" spans="1:22" x14ac:dyDescent="0.25">
      <c r="A181" t="s">
        <v>181</v>
      </c>
      <c r="B181">
        <f>_xlfn.XLOOKUP(A181,'Do podmianki'!A:A,'Do podmianki'!B:B,K181)</f>
        <v>4.7</v>
      </c>
      <c r="C181">
        <f>_xlfn.XLOOKUP(A181,'Do podmianki'!B:B,'Do podmianki'!C:C,L181)</f>
        <v>6.3</v>
      </c>
      <c r="K181">
        <v>4.7</v>
      </c>
      <c r="L181">
        <v>6.3</v>
      </c>
      <c r="Q181">
        <v>4.7</v>
      </c>
      <c r="R181">
        <v>6.3</v>
      </c>
      <c r="U181">
        <v>10.647326</v>
      </c>
      <c r="V181">
        <v>6.3</v>
      </c>
    </row>
    <row r="182" spans="1:22" x14ac:dyDescent="0.25">
      <c r="A182" t="s">
        <v>182</v>
      </c>
      <c r="B182">
        <f>_xlfn.XLOOKUP(A182,'Do podmianki'!A:A,'Do podmianki'!B:B,K182)</f>
        <v>9</v>
      </c>
      <c r="C182">
        <f>_xlfn.XLOOKUP(A182,'Do podmianki'!B:B,'Do podmianki'!C:C,L182)</f>
        <v>0.9</v>
      </c>
      <c r="K182">
        <v>9</v>
      </c>
      <c r="L182">
        <v>0.9</v>
      </c>
      <c r="Q182">
        <v>9</v>
      </c>
      <c r="R182">
        <v>0.9</v>
      </c>
      <c r="U182">
        <v>37.729754999999898</v>
      </c>
      <c r="V182">
        <v>0.9</v>
      </c>
    </row>
    <row r="183" spans="1:22" x14ac:dyDescent="0.25">
      <c r="A183" t="s">
        <v>183</v>
      </c>
      <c r="B183">
        <f>_xlfn.XLOOKUP(A183,'Do podmianki'!A:A,'Do podmianki'!B:B,K183)</f>
        <v>4.0999999999999996</v>
      </c>
      <c r="C183">
        <f>_xlfn.XLOOKUP(A183,'Do podmianki'!B:B,'Do podmianki'!C:C,L183)</f>
        <v>3.2</v>
      </c>
      <c r="K183">
        <v>4.0999999999999996</v>
      </c>
      <c r="L183">
        <v>3.2</v>
      </c>
      <c r="Q183">
        <v>4.0999999999999996</v>
      </c>
      <c r="R183">
        <v>3.2</v>
      </c>
      <c r="U183">
        <v>7.9035919999999997</v>
      </c>
      <c r="V183">
        <v>3.2</v>
      </c>
    </row>
    <row r="184" spans="1:22" x14ac:dyDescent="0.25">
      <c r="A184" t="s">
        <v>184</v>
      </c>
      <c r="B184">
        <f>_xlfn.XLOOKUP(A184,'Do podmianki'!A:A,'Do podmianki'!B:B,K184)</f>
        <v>51.4</v>
      </c>
      <c r="C184">
        <f>_xlfn.XLOOKUP(A184,'Do podmianki'!B:B,'Do podmianki'!C:C,L184)</f>
        <v>0.7</v>
      </c>
      <c r="K184">
        <v>51.4</v>
      </c>
      <c r="L184">
        <v>0.7</v>
      </c>
      <c r="Q184">
        <v>51.400002000000001</v>
      </c>
      <c r="R184">
        <v>0.7</v>
      </c>
      <c r="U184">
        <v>51.980792999999899</v>
      </c>
      <c r="V184">
        <v>0.7</v>
      </c>
    </row>
    <row r="185" spans="1:22" x14ac:dyDescent="0.25">
      <c r="A185" t="s">
        <v>185</v>
      </c>
      <c r="B185">
        <f>_xlfn.XLOOKUP(A185,'Do podmianki'!A:A,'Do podmianki'!B:B,K185)</f>
        <v>28</v>
      </c>
      <c r="C185">
        <f>_xlfn.XLOOKUP(A185,'Do podmianki'!B:B,'Do podmianki'!C:C,L185)</f>
        <v>4.5</v>
      </c>
      <c r="K185">
        <v>28</v>
      </c>
      <c r="L185">
        <v>4.5</v>
      </c>
      <c r="Q185">
        <v>10</v>
      </c>
      <c r="R185">
        <v>4.5</v>
      </c>
      <c r="U185">
        <v>7.917243</v>
      </c>
      <c r="V185">
        <v>4.5</v>
      </c>
    </row>
    <row r="186" spans="1:22" x14ac:dyDescent="0.25">
      <c r="A186" t="s">
        <v>186</v>
      </c>
      <c r="B186">
        <f>_xlfn.XLOOKUP(A186,'Do podmianki'!A:A,'Do podmianki'!B:B,K186)</f>
        <v>26.5</v>
      </c>
      <c r="C186">
        <f>_xlfn.XLOOKUP(A186,'Do podmianki'!B:B,'Do podmianki'!C:C,L186)</f>
        <v>0.7</v>
      </c>
      <c r="K186">
        <v>26.5</v>
      </c>
      <c r="L186">
        <v>0.7</v>
      </c>
      <c r="Q186">
        <v>26.5</v>
      </c>
      <c r="R186">
        <v>0.7</v>
      </c>
      <c r="U186">
        <v>23.096508</v>
      </c>
      <c r="V186">
        <v>0.7</v>
      </c>
    </row>
    <row r="187" spans="1:22" x14ac:dyDescent="0.25">
      <c r="A187" t="s">
        <v>187</v>
      </c>
      <c r="B187">
        <f>_xlfn.XLOOKUP(A187,'Do podmianki'!A:A,'Do podmianki'!B:B,K187)</f>
        <v>8.3000000000000007</v>
      </c>
      <c r="C187">
        <f>_xlfn.XLOOKUP(A187,'Do podmianki'!B:B,'Do podmianki'!C:C,L187)</f>
        <v>2</v>
      </c>
      <c r="K187">
        <v>8.3000000000000007</v>
      </c>
      <c r="L187">
        <v>2</v>
      </c>
      <c r="Q187">
        <v>8.3000000000000007</v>
      </c>
      <c r="R187">
        <v>2</v>
      </c>
      <c r="U187">
        <v>7.535031</v>
      </c>
      <c r="V187">
        <v>2</v>
      </c>
    </row>
    <row r="188" spans="1:22" x14ac:dyDescent="0.25">
      <c r="A188" t="s">
        <v>188</v>
      </c>
      <c r="B188">
        <f>_xlfn.XLOOKUP(A188,'Do podmianki'!A:A,'Do podmianki'!B:B,K188)</f>
        <v>12.9</v>
      </c>
      <c r="C188">
        <f>_xlfn.XLOOKUP(A188,'Do podmianki'!B:B,'Do podmianki'!C:C,L188)</f>
        <v>0.6</v>
      </c>
      <c r="K188">
        <v>12.9</v>
      </c>
      <c r="L188">
        <v>0.6</v>
      </c>
      <c r="Q188">
        <v>12.9</v>
      </c>
      <c r="R188">
        <v>0.6</v>
      </c>
      <c r="U188">
        <v>37.347546000000001</v>
      </c>
      <c r="V188">
        <v>0.6</v>
      </c>
    </row>
    <row r="189" spans="1:22" x14ac:dyDescent="0.25">
      <c r="A189" t="s">
        <v>189</v>
      </c>
      <c r="B189">
        <f>_xlfn.XLOOKUP(A189,'Do podmianki'!A:A,'Do podmianki'!B:B,K189)</f>
        <v>87.4</v>
      </c>
      <c r="C189">
        <f>_xlfn.XLOOKUP(A189,'Do podmianki'!B:B,'Do podmianki'!C:C,L189)</f>
        <v>3.2</v>
      </c>
      <c r="K189">
        <v>87.4</v>
      </c>
      <c r="L189">
        <v>3.2</v>
      </c>
      <c r="Q189">
        <v>87.400002000000001</v>
      </c>
      <c r="R189">
        <v>3.2</v>
      </c>
      <c r="U189" s="3">
        <v>112.848007</v>
      </c>
      <c r="V189">
        <v>3.2</v>
      </c>
    </row>
    <row r="190" spans="1:22" x14ac:dyDescent="0.25">
      <c r="A190" t="s">
        <v>190</v>
      </c>
      <c r="B190">
        <f>_xlfn.XLOOKUP(A190,'Do podmianki'!A:A,'Do podmianki'!B:B,K190)</f>
        <v>45.6</v>
      </c>
      <c r="C190">
        <f>_xlfn.XLOOKUP(A190,'Do podmianki'!B:B,'Do podmianki'!C:C,L190)</f>
        <v>9.6999999999999993</v>
      </c>
      <c r="K190">
        <v>45.6</v>
      </c>
      <c r="L190">
        <v>9.6999999999999993</v>
      </c>
      <c r="Q190">
        <v>45.599997999999999</v>
      </c>
      <c r="R190">
        <v>9.6999999999999993</v>
      </c>
      <c r="U190">
        <v>81.219986000000006</v>
      </c>
      <c r="V190">
        <v>9.6999999999999904</v>
      </c>
    </row>
    <row r="191" spans="1:22" x14ac:dyDescent="0.25">
      <c r="A191" t="s">
        <v>191</v>
      </c>
      <c r="B191">
        <f>_xlfn.XLOOKUP(A191,'Do podmianki'!A:A,'Do podmianki'!B:B,K191)</f>
        <v>8.1999999999999993</v>
      </c>
      <c r="C191">
        <f>_xlfn.XLOOKUP(A191,'Do podmianki'!B:B,'Do podmianki'!C:C,L191)</f>
        <v>7</v>
      </c>
      <c r="K191">
        <v>8.1999999999999993</v>
      </c>
      <c r="L191">
        <v>7</v>
      </c>
      <c r="Q191">
        <v>8.1999999999999993</v>
      </c>
      <c r="R191">
        <v>7</v>
      </c>
      <c r="U191">
        <v>21.8406699999999</v>
      </c>
      <c r="V191">
        <v>7</v>
      </c>
    </row>
    <row r="192" spans="1:22" x14ac:dyDescent="0.25">
      <c r="A192" t="s">
        <v>192</v>
      </c>
      <c r="B192">
        <f>_xlfn.XLOOKUP(A192,'Do podmianki'!A:A,'Do podmianki'!B:B,K192)</f>
        <v>33.799999999999997</v>
      </c>
      <c r="C192">
        <f>_xlfn.XLOOKUP(A192,'Do podmianki'!B:B,'Do podmianki'!C:C,L192)</f>
        <v>1.9</v>
      </c>
      <c r="K192">
        <v>33.799999999999997</v>
      </c>
      <c r="L192">
        <v>1.9</v>
      </c>
      <c r="Q192">
        <v>33.799999</v>
      </c>
      <c r="R192">
        <v>1.9</v>
      </c>
      <c r="U192">
        <v>52.922671999999899</v>
      </c>
      <c r="V192">
        <v>1.9</v>
      </c>
    </row>
    <row r="193" spans="1:22" x14ac:dyDescent="0.25">
      <c r="A193" t="s">
        <v>193</v>
      </c>
      <c r="B193">
        <f>_xlfn.XLOOKUP(A193,'Do podmianki'!A:A,'Do podmianki'!B:B,K193)</f>
        <v>30.9</v>
      </c>
      <c r="C193">
        <f>_xlfn.XLOOKUP(A193,'Do podmianki'!B:B,'Do podmianki'!C:C,L193)</f>
        <v>4.5</v>
      </c>
      <c r="K193">
        <v>30.9</v>
      </c>
      <c r="L193">
        <v>4.5</v>
      </c>
      <c r="Q193">
        <v>30.9</v>
      </c>
      <c r="R193">
        <v>4.5</v>
      </c>
      <c r="U193">
        <v>45.362288999999897</v>
      </c>
      <c r="V193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66"/>
  <sheetViews>
    <sheetView workbookViewId="0">
      <selection activeCell="C2" sqref="C2"/>
    </sheetView>
  </sheetViews>
  <sheetFormatPr defaultRowHeight="15" x14ac:dyDescent="0.25"/>
  <cols>
    <col min="2" max="2" width="9.7109375" bestFit="1" customWidth="1"/>
    <col min="5" max="5" width="9.85546875" bestFit="1" customWidth="1"/>
    <col min="12" max="12" width="11.140625" customWidth="1"/>
  </cols>
  <sheetData>
    <row r="1" spans="1:88" x14ac:dyDescent="0.25">
      <c r="A1" s="1" t="s">
        <v>0</v>
      </c>
      <c r="B1" s="1" t="s">
        <v>1</v>
      </c>
      <c r="C1" s="1" t="s">
        <v>2</v>
      </c>
      <c r="K1" t="s">
        <v>537</v>
      </c>
      <c r="O1" s="4" t="s">
        <v>552</v>
      </c>
      <c r="P1" s="4"/>
      <c r="T1" s="3"/>
      <c r="U1" s="4" t="s">
        <v>553</v>
      </c>
      <c r="V1" s="4"/>
      <c r="X1">
        <v>49.5</v>
      </c>
      <c r="Y1">
        <v>37.400002000000001</v>
      </c>
      <c r="Z1" s="3">
        <v>61.5</v>
      </c>
      <c r="AA1" s="3">
        <v>38.799999</v>
      </c>
      <c r="AB1">
        <v>24.700001</v>
      </c>
      <c r="AC1" s="3">
        <v>106.900002</v>
      </c>
      <c r="AD1">
        <v>29.5</v>
      </c>
      <c r="AE1">
        <v>84.699996999999897</v>
      </c>
      <c r="AF1">
        <v>49.5</v>
      </c>
      <c r="AG1">
        <v>29.5</v>
      </c>
      <c r="AH1">
        <v>3.1</v>
      </c>
      <c r="AI1" s="3">
        <v>197.699997</v>
      </c>
      <c r="AJ1" s="3">
        <v>291.39999399999999</v>
      </c>
      <c r="AK1">
        <v>51.5</v>
      </c>
      <c r="AL1" s="3">
        <v>54.0999979999999</v>
      </c>
      <c r="AM1">
        <v>14</v>
      </c>
      <c r="AN1">
        <v>30.1</v>
      </c>
      <c r="AO1">
        <v>18.700001</v>
      </c>
      <c r="AP1">
        <v>46.0999979999999</v>
      </c>
      <c r="AQ1">
        <v>36.799999</v>
      </c>
      <c r="AR1">
        <v>56.799999</v>
      </c>
      <c r="AS1">
        <v>20.5</v>
      </c>
      <c r="AT1">
        <v>44.0999979999999</v>
      </c>
      <c r="AU1" s="3">
        <v>103.599998</v>
      </c>
      <c r="AV1">
        <v>49.5</v>
      </c>
      <c r="AW1">
        <v>30.700001</v>
      </c>
      <c r="AX1">
        <v>26.1</v>
      </c>
      <c r="AY1">
        <v>38.799999</v>
      </c>
      <c r="AZ1">
        <v>27.399999999999899</v>
      </c>
      <c r="BA1">
        <v>3.3</v>
      </c>
      <c r="BB1" s="3">
        <v>40.799999</v>
      </c>
      <c r="BC1">
        <v>32.0999979999999</v>
      </c>
      <c r="BD1">
        <v>13.4</v>
      </c>
      <c r="BE1">
        <v>46.0999979999999</v>
      </c>
      <c r="BF1" s="3">
        <v>6.7</v>
      </c>
      <c r="BG1">
        <v>14.6999999999999</v>
      </c>
      <c r="BH1" s="3">
        <v>65.5</v>
      </c>
      <c r="BI1" s="3">
        <v>9.4</v>
      </c>
      <c r="BJ1">
        <v>11.6</v>
      </c>
      <c r="BK1" s="3">
        <v>145.699997</v>
      </c>
      <c r="BL1">
        <v>46.799999</v>
      </c>
      <c r="BM1">
        <v>37.400002000000001</v>
      </c>
      <c r="BN1">
        <v>77.5</v>
      </c>
      <c r="BO1">
        <v>10.6</v>
      </c>
      <c r="BP1">
        <v>38.0999979999999</v>
      </c>
      <c r="BQ1" s="3">
        <v>149.699997</v>
      </c>
      <c r="BR1">
        <v>139</v>
      </c>
      <c r="BS1">
        <v>18.700001</v>
      </c>
      <c r="BT1">
        <v>26.700001</v>
      </c>
      <c r="BU1">
        <v>44.5999979999999</v>
      </c>
      <c r="BV1">
        <v>55.799999</v>
      </c>
      <c r="BW1">
        <v>52</v>
      </c>
      <c r="BX1">
        <v>21.399999999999899</v>
      </c>
      <c r="BY1" s="3">
        <v>6.7</v>
      </c>
      <c r="BZ1">
        <v>236</v>
      </c>
      <c r="CA1">
        <v>40.299999</v>
      </c>
      <c r="CB1">
        <v>33.200001</v>
      </c>
      <c r="CC1">
        <v>80.199996999999897</v>
      </c>
      <c r="CD1">
        <v>60.200001</v>
      </c>
      <c r="CE1">
        <v>38.799999</v>
      </c>
      <c r="CF1">
        <v>42.0999979999999</v>
      </c>
      <c r="CG1">
        <v>64.199996999999897</v>
      </c>
      <c r="CH1">
        <v>98.900002000000001</v>
      </c>
      <c r="CI1">
        <v>38.799999</v>
      </c>
      <c r="CJ1">
        <v>1</v>
      </c>
    </row>
    <row r="2" spans="1:88" x14ac:dyDescent="0.25">
      <c r="A2" t="s">
        <v>195</v>
      </c>
      <c r="B2">
        <f>_xlfn.XLOOKUP(A2,'Do podmianki'!A:A,'Do podmianki'!B:B,K2)</f>
        <v>40.200000000000003</v>
      </c>
      <c r="C2">
        <f>_xlfn.XLOOKUP(A2,'Do podmianki'!B:B,'Do podmianki'!C:C,L2)</f>
        <v>177.1</v>
      </c>
      <c r="I2">
        <f>_xlfn.XLOOKUP(A2,'Do podmianki'!A:A,'Do podmianki'!B:B,Generators!B2)</f>
        <v>40.200000000000003</v>
      </c>
      <c r="K2">
        <v>40.200000000000003</v>
      </c>
      <c r="L2" s="3">
        <v>177.1</v>
      </c>
      <c r="O2">
        <v>47.4806209999999</v>
      </c>
      <c r="P2">
        <v>13.8098483480215</v>
      </c>
      <c r="U2">
        <v>40.102176999999998</v>
      </c>
      <c r="V2">
        <v>135.5</v>
      </c>
      <c r="X2" s="3">
        <v>135.5</v>
      </c>
      <c r="Y2">
        <v>-1</v>
      </c>
      <c r="Z2" s="3">
        <v>-135.5</v>
      </c>
      <c r="AA2">
        <v>2.2000000000000002</v>
      </c>
      <c r="AB2">
        <v>23.700001</v>
      </c>
      <c r="AC2">
        <v>76.400002000000001</v>
      </c>
      <c r="AD2" s="3">
        <v>135.5</v>
      </c>
      <c r="AE2" s="3">
        <v>135.5</v>
      </c>
      <c r="AF2">
        <v>-48.700001</v>
      </c>
      <c r="AG2" s="3">
        <v>-111.699997</v>
      </c>
      <c r="AH2">
        <v>-7.1</v>
      </c>
      <c r="AI2" s="3">
        <v>135.5</v>
      </c>
      <c r="AJ2">
        <v>-17.399999999999899</v>
      </c>
      <c r="AK2">
        <v>-10.6</v>
      </c>
      <c r="AL2">
        <v>-37.0999979999999</v>
      </c>
      <c r="AM2">
        <v>-17.600000000000001</v>
      </c>
      <c r="AN2">
        <v>-14.6999999999999</v>
      </c>
      <c r="AO2">
        <v>3.4</v>
      </c>
      <c r="AP2">
        <v>-5.0999999999999996</v>
      </c>
      <c r="AQ2" s="3">
        <v>135.5</v>
      </c>
      <c r="AR2">
        <v>-16.399999999999899</v>
      </c>
      <c r="AS2">
        <v>-4.5</v>
      </c>
      <c r="AT2" s="3">
        <v>135.5</v>
      </c>
      <c r="AU2">
        <v>-11.1</v>
      </c>
      <c r="AV2" s="3">
        <v>116.800003</v>
      </c>
      <c r="AW2" s="3">
        <v>113.5</v>
      </c>
      <c r="AX2">
        <v>-9.8000000000000007</v>
      </c>
      <c r="AY2">
        <v>-17</v>
      </c>
      <c r="AZ2">
        <v>-36.900002000000001</v>
      </c>
      <c r="BA2" s="3">
        <v>-135.5</v>
      </c>
      <c r="BB2" s="3">
        <v>135.5</v>
      </c>
      <c r="BC2">
        <v>113</v>
      </c>
      <c r="BD2">
        <v>4</v>
      </c>
      <c r="BE2" s="3">
        <v>120.5</v>
      </c>
      <c r="BF2">
        <v>78.800003000000004</v>
      </c>
      <c r="BG2" s="3">
        <v>-135.5</v>
      </c>
      <c r="BH2" s="3">
        <v>-135.5</v>
      </c>
      <c r="BI2" s="3">
        <v>119.699997</v>
      </c>
      <c r="BJ2" s="3">
        <v>-126.699997</v>
      </c>
      <c r="BK2" s="3">
        <v>135.5</v>
      </c>
      <c r="BL2">
        <v>-78.5</v>
      </c>
      <c r="BM2" s="3">
        <v>120.199997</v>
      </c>
      <c r="BN2" s="3">
        <v>-113.699997</v>
      </c>
      <c r="BO2" s="3">
        <v>-135.5</v>
      </c>
      <c r="BP2">
        <v>2.1</v>
      </c>
      <c r="BQ2">
        <v>9.6999999999999904</v>
      </c>
      <c r="BR2" s="3">
        <v>-135.5</v>
      </c>
      <c r="BS2" s="3">
        <v>-135.5</v>
      </c>
      <c r="BT2">
        <v>121</v>
      </c>
      <c r="BU2">
        <v>-8</v>
      </c>
      <c r="BV2">
        <v>-3.1</v>
      </c>
      <c r="BW2">
        <v>-2</v>
      </c>
      <c r="BX2" s="3">
        <v>135.5</v>
      </c>
      <c r="BY2">
        <v>-40.5999979999999</v>
      </c>
      <c r="BZ2">
        <v>-7.4</v>
      </c>
      <c r="CA2">
        <v>40.5999979999999</v>
      </c>
      <c r="CB2">
        <v>39.299999</v>
      </c>
      <c r="CC2">
        <v>53.5</v>
      </c>
      <c r="CD2" s="3">
        <v>-135.5</v>
      </c>
      <c r="CE2">
        <v>25.799999</v>
      </c>
      <c r="CF2">
        <v>0.7</v>
      </c>
      <c r="CG2">
        <v>-6.8</v>
      </c>
      <c r="CH2" s="3">
        <v>-135.5</v>
      </c>
      <c r="CI2">
        <v>0.8</v>
      </c>
      <c r="CJ2">
        <v>1</v>
      </c>
    </row>
    <row r="3" spans="1:88" x14ac:dyDescent="0.25">
      <c r="A3" t="s">
        <v>196</v>
      </c>
      <c r="B3">
        <f>_xlfn.XLOOKUP(A3,'Do podmianki'!A:A,'Do podmianki'!B:B,K3)</f>
        <v>30.5</v>
      </c>
      <c r="C3">
        <f>_xlfn.XLOOKUP(A3,'Do podmianki'!B:B,'Do podmianki'!C:C,L3)</f>
        <v>-1.2</v>
      </c>
      <c r="I3">
        <f>_xlfn.XLOOKUP(A3,'Do podmianki'!A:A,'Do podmianki'!B:B,Generators!B3)</f>
        <v>30.5</v>
      </c>
      <c r="K3">
        <v>30.5</v>
      </c>
      <c r="L3">
        <v>-1.2</v>
      </c>
      <c r="O3">
        <v>29.7747899999999</v>
      </c>
      <c r="P3">
        <v>3.7075993838515302</v>
      </c>
      <c r="U3">
        <v>28.530404000000001</v>
      </c>
      <c r="V3">
        <v>-1</v>
      </c>
    </row>
    <row r="4" spans="1:88" x14ac:dyDescent="0.25">
      <c r="A4" t="s">
        <v>197</v>
      </c>
      <c r="B4">
        <f>_xlfn.XLOOKUP(A4,'Do podmianki'!A:A,'Do podmianki'!B:B,K4)</f>
        <v>51.7</v>
      </c>
      <c r="C4">
        <f>_xlfn.XLOOKUP(A4,'Do podmianki'!B:B,'Do podmianki'!C:C,L4)</f>
        <v>-107.1</v>
      </c>
      <c r="I4">
        <f>_xlfn.XLOOKUP(A4,'Do podmianki'!A:A,'Do podmianki'!B:B,Generators!B4)</f>
        <v>51.7</v>
      </c>
      <c r="K4" s="3">
        <v>51.7</v>
      </c>
      <c r="L4" s="3">
        <v>-107.1</v>
      </c>
      <c r="O4">
        <v>53.949558000000003</v>
      </c>
      <c r="P4">
        <v>10.954924989276501</v>
      </c>
      <c r="U4">
        <v>53.927509309999998</v>
      </c>
      <c r="V4">
        <v>-135.5</v>
      </c>
    </row>
    <row r="5" spans="1:88" x14ac:dyDescent="0.25">
      <c r="A5" t="s">
        <v>198</v>
      </c>
      <c r="B5">
        <f>_xlfn.XLOOKUP(A5,'Do podmianki'!A:A,'Do podmianki'!B:B,K5)</f>
        <v>42.8</v>
      </c>
      <c r="C5">
        <f>_xlfn.XLOOKUP(A5,'Do podmianki'!B:B,'Do podmianki'!C:C,L5)</f>
        <v>11.9</v>
      </c>
      <c r="I5">
        <f>_xlfn.XLOOKUP(A5,'Do podmianki'!A:A,'Do podmianki'!B:B,Generators!B5)</f>
        <v>42.8</v>
      </c>
      <c r="K5" s="3">
        <v>42.8</v>
      </c>
      <c r="L5">
        <v>11.9</v>
      </c>
      <c r="O5">
        <v>41.749512000000003</v>
      </c>
      <c r="P5">
        <v>8.4775999888432807</v>
      </c>
      <c r="U5">
        <v>33.318725000000001</v>
      </c>
      <c r="V5">
        <v>2.2000000476837158</v>
      </c>
    </row>
    <row r="6" spans="1:88" x14ac:dyDescent="0.25">
      <c r="A6" t="s">
        <v>199</v>
      </c>
      <c r="B6">
        <f>_xlfn.XLOOKUP(A6,'Do podmianki'!A:A,'Do podmianki'!B:B,K6)</f>
        <v>22.9</v>
      </c>
      <c r="C6">
        <f>_xlfn.XLOOKUP(A6,'Do podmianki'!B:B,'Do podmianki'!C:C,L6)</f>
        <v>59.1</v>
      </c>
      <c r="I6">
        <f>_xlfn.XLOOKUP(A6,'Do podmianki'!A:A,'Do podmianki'!B:B,Generators!B6)</f>
        <v>22.9</v>
      </c>
      <c r="K6">
        <v>22.9</v>
      </c>
      <c r="L6">
        <v>59.1</v>
      </c>
      <c r="O6">
        <v>30.47617</v>
      </c>
      <c r="P6">
        <v>6.1884502614542098</v>
      </c>
      <c r="U6">
        <v>14.664228</v>
      </c>
      <c r="V6">
        <v>23.70000076293945</v>
      </c>
    </row>
    <row r="7" spans="1:88" x14ac:dyDescent="0.25">
      <c r="A7" t="s">
        <v>200</v>
      </c>
      <c r="B7">
        <f>_xlfn.XLOOKUP(A7,'Do podmianki'!A:A,'Do podmianki'!B:B,K7)</f>
        <v>100.1</v>
      </c>
      <c r="C7">
        <f>_xlfn.XLOOKUP(A7,'Do podmianki'!B:B,'Do podmianki'!C:C,L7)</f>
        <v>88.5</v>
      </c>
      <c r="I7">
        <f>_xlfn.XLOOKUP(A7,'Do podmianki'!A:A,'Do podmianki'!B:B,Generators!B7)</f>
        <v>100.1</v>
      </c>
      <c r="K7" s="3">
        <v>100.1</v>
      </c>
      <c r="L7">
        <v>88.5</v>
      </c>
      <c r="O7" s="3">
        <v>128.00129100000001</v>
      </c>
      <c r="P7" s="3">
        <v>8.4461844132424204</v>
      </c>
      <c r="U7">
        <v>95.315361019999997</v>
      </c>
      <c r="V7">
        <v>76.400001525878906</v>
      </c>
    </row>
    <row r="8" spans="1:88" x14ac:dyDescent="0.25">
      <c r="A8" t="s">
        <v>201</v>
      </c>
      <c r="B8">
        <f>_xlfn.XLOOKUP(A8,'Do podmianki'!A:A,'Do podmianki'!B:B,K8)</f>
        <v>29.3</v>
      </c>
      <c r="C8">
        <f>_xlfn.XLOOKUP(A8,'Do podmianki'!B:B,'Do podmianki'!C:C,L8)</f>
        <v>142.5</v>
      </c>
      <c r="I8">
        <f>_xlfn.XLOOKUP(A8,'Do podmianki'!A:A,'Do podmianki'!B:B,Generators!B8)</f>
        <v>29.3</v>
      </c>
      <c r="K8">
        <v>29.3</v>
      </c>
      <c r="L8" s="3">
        <v>142.5</v>
      </c>
      <c r="O8">
        <v>21.151520999999899</v>
      </c>
      <c r="P8">
        <v>4.2949995246320096</v>
      </c>
      <c r="U8">
        <v>20.825490949999999</v>
      </c>
      <c r="V8">
        <v>135.5</v>
      </c>
    </row>
    <row r="9" spans="1:88" x14ac:dyDescent="0.25">
      <c r="A9" t="s">
        <v>202</v>
      </c>
      <c r="B9">
        <f>_xlfn.XLOOKUP(A9,'Do podmianki'!A:A,'Do podmianki'!B:B,K9)</f>
        <v>70.900000000000006</v>
      </c>
      <c r="C9">
        <f>_xlfn.XLOOKUP(A9,'Do podmianki'!B:B,'Do podmianki'!C:C,L9)</f>
        <v>230.3</v>
      </c>
      <c r="I9">
        <f>_xlfn.XLOOKUP(A9,'Do podmianki'!A:A,'Do podmianki'!B:B,Generators!B9)</f>
        <v>70.900000000000006</v>
      </c>
      <c r="K9">
        <v>70.900000000000006</v>
      </c>
      <c r="L9" s="3">
        <v>230.3</v>
      </c>
      <c r="O9" s="3">
        <v>109.482392</v>
      </c>
      <c r="P9" s="3">
        <v>22.231347882527</v>
      </c>
      <c r="U9">
        <v>84.137733460000007</v>
      </c>
      <c r="V9">
        <v>135.5</v>
      </c>
    </row>
    <row r="10" spans="1:88" x14ac:dyDescent="0.25">
      <c r="A10" t="s">
        <v>203</v>
      </c>
      <c r="B10">
        <f>_xlfn.XLOOKUP(A10,'Do podmianki'!A:A,'Do podmianki'!B:B,K10)</f>
        <v>45.1</v>
      </c>
      <c r="C10">
        <f>_xlfn.XLOOKUP(A10,'Do podmianki'!B:B,'Do podmianki'!C:C,L10)</f>
        <v>-130.4</v>
      </c>
      <c r="I10">
        <f>_xlfn.XLOOKUP(A10,'Do podmianki'!A:A,'Do podmianki'!B:B,Generators!B10)</f>
        <v>45.1</v>
      </c>
      <c r="K10">
        <v>45.1</v>
      </c>
      <c r="L10">
        <v>-130.4</v>
      </c>
      <c r="O10">
        <v>35.789718999999899</v>
      </c>
      <c r="P10">
        <v>7.26741240460737</v>
      </c>
      <c r="U10">
        <v>52.139011379999999</v>
      </c>
      <c r="V10">
        <v>-48.700000762939453</v>
      </c>
    </row>
    <row r="11" spans="1:88" x14ac:dyDescent="0.25">
      <c r="A11" t="s">
        <v>204</v>
      </c>
      <c r="B11">
        <f>_xlfn.XLOOKUP(A11,'Do podmianki'!A:A,'Do podmianki'!B:B,K11)</f>
        <v>32.700000000000003</v>
      </c>
      <c r="C11">
        <f>_xlfn.XLOOKUP(A11,'Do podmianki'!B:B,'Do podmianki'!C:C,L11)</f>
        <v>-124.2</v>
      </c>
      <c r="I11">
        <f>_xlfn.XLOOKUP(A11,'Do podmianki'!A:A,'Do podmianki'!B:B,Generators!B11)</f>
        <v>32.700000000000003</v>
      </c>
      <c r="K11">
        <v>32.700000000000003</v>
      </c>
      <c r="L11" s="3">
        <v>-124.2</v>
      </c>
      <c r="O11">
        <v>37.960026999999897</v>
      </c>
      <c r="P11">
        <v>7.7081122402506299</v>
      </c>
      <c r="U11">
        <v>25.545900339999999</v>
      </c>
      <c r="V11">
        <v>-111.6999969482422</v>
      </c>
    </row>
    <row r="12" spans="1:88" x14ac:dyDescent="0.25">
      <c r="A12" t="s">
        <v>205</v>
      </c>
      <c r="B12">
        <f>_xlfn.XLOOKUP(A12,'Do podmianki'!A:A,'Do podmianki'!B:B,K12)</f>
        <v>3.6</v>
      </c>
      <c r="C12">
        <f>_xlfn.XLOOKUP(A12,'Do podmianki'!B:B,'Do podmianki'!C:C,L12)</f>
        <v>-7.4</v>
      </c>
      <c r="I12">
        <f>_xlfn.XLOOKUP(A12,'Do podmianki'!A:A,'Do podmianki'!B:B,Generators!B12)</f>
        <v>3.6</v>
      </c>
      <c r="K12">
        <v>3.6</v>
      </c>
      <c r="L12">
        <v>-7.4</v>
      </c>
      <c r="O12">
        <v>2.6394319999999998</v>
      </c>
      <c r="P12">
        <v>0.53595952675453096</v>
      </c>
      <c r="U12">
        <v>4.1056690219999998</v>
      </c>
      <c r="V12">
        <v>-7.0999999046325684</v>
      </c>
    </row>
    <row r="13" spans="1:88" x14ac:dyDescent="0.25">
      <c r="A13" t="s">
        <v>206</v>
      </c>
      <c r="B13">
        <f>_xlfn.XLOOKUP(A13,'Do podmianki'!A:A,'Do podmianki'!B:B,K13)</f>
        <v>196.7</v>
      </c>
      <c r="C13">
        <f>_xlfn.XLOOKUP(A13,'Do podmianki'!B:B,'Do podmianki'!C:C,L13)</f>
        <v>144.4</v>
      </c>
      <c r="I13">
        <f>_xlfn.XLOOKUP(A13,'Do podmianki'!A:A,'Do podmianki'!B:B,Generators!B13)</f>
        <v>196.7</v>
      </c>
      <c r="K13" s="3">
        <v>196.7</v>
      </c>
      <c r="L13" s="3">
        <v>144.4</v>
      </c>
      <c r="O13" s="3">
        <v>189.37579299999999</v>
      </c>
      <c r="P13" s="3">
        <v>1.7326623657676E-2</v>
      </c>
      <c r="U13">
        <v>174.97290039999999</v>
      </c>
      <c r="V13">
        <v>135.5</v>
      </c>
    </row>
    <row r="14" spans="1:88" x14ac:dyDescent="0.25">
      <c r="A14" t="s">
        <v>207</v>
      </c>
      <c r="B14">
        <f>_xlfn.XLOOKUP(A14,'Do podmianki'!A:A,'Do podmianki'!B:B,K14)</f>
        <v>302.60000000000002</v>
      </c>
      <c r="C14">
        <f>_xlfn.XLOOKUP(A14,'Do podmianki'!B:B,'Do podmianki'!C:C,L14)</f>
        <v>-18.3</v>
      </c>
      <c r="I14">
        <f>_xlfn.XLOOKUP(A14,'Do podmianki'!A:A,'Do podmianki'!B:B,Generators!B14)</f>
        <v>302.60000000000002</v>
      </c>
      <c r="K14" s="3">
        <v>302.60000000000002</v>
      </c>
      <c r="L14">
        <v>-18.3</v>
      </c>
      <c r="O14" s="3">
        <v>421.891907</v>
      </c>
      <c r="P14" s="3">
        <v>6.3983367018391996E-2</v>
      </c>
      <c r="U14">
        <v>393.346405</v>
      </c>
      <c r="V14">
        <v>-17.39999961853027</v>
      </c>
    </row>
    <row r="15" spans="1:88" x14ac:dyDescent="0.25">
      <c r="A15" t="s">
        <v>208</v>
      </c>
      <c r="B15">
        <f>_xlfn.XLOOKUP(A15,'Do podmianki'!A:A,'Do podmianki'!B:B,K15)</f>
        <v>44.9</v>
      </c>
      <c r="C15">
        <f>_xlfn.XLOOKUP(A15,'Do podmianki'!B:B,'Do podmianki'!C:C,L15)</f>
        <v>-61.8</v>
      </c>
      <c r="I15">
        <f>_xlfn.XLOOKUP(A15,'Do podmianki'!A:A,'Do podmianki'!B:B,Generators!B15)</f>
        <v>44.9</v>
      </c>
      <c r="K15">
        <v>44.9</v>
      </c>
      <c r="L15">
        <v>-61.8</v>
      </c>
      <c r="O15">
        <v>56.853371000000003</v>
      </c>
      <c r="P15">
        <v>11.5445693677881</v>
      </c>
      <c r="U15">
        <v>67.460548399999993</v>
      </c>
      <c r="V15">
        <v>-10.60000038146973</v>
      </c>
    </row>
    <row r="16" spans="1:88" x14ac:dyDescent="0.25">
      <c r="A16" t="s">
        <v>209</v>
      </c>
      <c r="B16">
        <f>_xlfn.XLOOKUP(A16,'Do podmianki'!A:A,'Do podmianki'!B:B,K16)</f>
        <v>49.8</v>
      </c>
      <c r="C16">
        <f>_xlfn.XLOOKUP(A16,'Do podmianki'!B:B,'Do podmianki'!C:C,L16)</f>
        <v>-19.600000000000001</v>
      </c>
      <c r="I16">
        <f>_xlfn.XLOOKUP(A16,'Do podmianki'!A:A,'Do podmianki'!B:B,Generators!B16)</f>
        <v>49.8</v>
      </c>
      <c r="K16" s="3">
        <v>49.8</v>
      </c>
      <c r="L16">
        <v>-19.600000000000001</v>
      </c>
      <c r="O16">
        <v>71.028419</v>
      </c>
      <c r="P16">
        <v>14.4229356290908</v>
      </c>
      <c r="U16">
        <v>58.168899539999998</v>
      </c>
      <c r="V16">
        <v>-37.099998474121087</v>
      </c>
    </row>
    <row r="17" spans="1:22" x14ac:dyDescent="0.25">
      <c r="A17" t="s">
        <v>210</v>
      </c>
      <c r="B17">
        <f>_xlfn.XLOOKUP(A17,'Do podmianki'!A:A,'Do podmianki'!B:B,K17)</f>
        <v>13.1</v>
      </c>
      <c r="C17">
        <f>_xlfn.XLOOKUP(A17,'Do podmianki'!B:B,'Do podmianki'!C:C,L17)</f>
        <v>-10.6</v>
      </c>
      <c r="I17">
        <f>_xlfn.XLOOKUP(A17,'Do podmianki'!A:A,'Do podmianki'!B:B,Generators!B17)</f>
        <v>13.1</v>
      </c>
      <c r="K17">
        <v>13.1</v>
      </c>
      <c r="L17">
        <v>-10.6</v>
      </c>
      <c r="O17">
        <v>14.6290099999999</v>
      </c>
      <c r="P17">
        <v>2.9705471770014502</v>
      </c>
      <c r="U17">
        <v>15.289910320000001</v>
      </c>
      <c r="V17">
        <v>-17.60000038146973</v>
      </c>
    </row>
    <row r="18" spans="1:22" x14ac:dyDescent="0.25">
      <c r="A18" t="s">
        <v>211</v>
      </c>
      <c r="B18">
        <f>_xlfn.XLOOKUP(A18,'Do podmianki'!A:A,'Do podmianki'!B:B,K18)</f>
        <v>32.700000000000003</v>
      </c>
      <c r="C18">
        <f>_xlfn.XLOOKUP(A18,'Do podmianki'!B:B,'Do podmianki'!C:C,L18)</f>
        <v>-12.9</v>
      </c>
      <c r="I18">
        <f>_xlfn.XLOOKUP(A18,'Do podmianki'!A:A,'Do podmianki'!B:B,Generators!B18)</f>
        <v>32.700000000000003</v>
      </c>
      <c r="K18">
        <v>32.700000000000003</v>
      </c>
      <c r="L18">
        <v>-12.9</v>
      </c>
      <c r="O18">
        <v>42.369689999999899</v>
      </c>
      <c r="P18">
        <v>8.6035325028779503</v>
      </c>
      <c r="U18">
        <v>27.81138992</v>
      </c>
      <c r="V18">
        <v>-14.69999980926514</v>
      </c>
    </row>
    <row r="19" spans="1:22" x14ac:dyDescent="0.25">
      <c r="A19" t="s">
        <v>212</v>
      </c>
      <c r="B19">
        <f>_xlfn.XLOOKUP(A19,'Do podmianki'!A:A,'Do podmianki'!B:B,K19)</f>
        <v>17.899999999999999</v>
      </c>
      <c r="C19">
        <f>_xlfn.XLOOKUP(A19,'Do podmianki'!B:B,'Do podmianki'!C:C,L19)</f>
        <v>-15.4</v>
      </c>
      <c r="I19">
        <f>_xlfn.XLOOKUP(A19,'Do podmianki'!A:A,'Do podmianki'!B:B,Generators!B19)</f>
        <v>17.899999999999999</v>
      </c>
      <c r="K19">
        <v>17.899999999999999</v>
      </c>
      <c r="L19">
        <v>-15.4</v>
      </c>
      <c r="O19">
        <v>19.463961000000001</v>
      </c>
      <c r="P19">
        <v>3.9523258512924899</v>
      </c>
      <c r="U19">
        <v>20.316219329999999</v>
      </c>
      <c r="V19">
        <v>3.4000000953674321</v>
      </c>
    </row>
    <row r="20" spans="1:22" x14ac:dyDescent="0.25">
      <c r="A20" t="s">
        <v>213</v>
      </c>
      <c r="B20">
        <f>_xlfn.XLOOKUP(A20,'Do podmianki'!A:A,'Do podmianki'!B:B,K20)</f>
        <v>54.9</v>
      </c>
      <c r="C20">
        <f>_xlfn.XLOOKUP(A20,'Do podmianki'!B:B,'Do podmianki'!C:C,L20)</f>
        <v>-19.600000000000001</v>
      </c>
      <c r="I20">
        <f>_xlfn.XLOOKUP(A20,'Do podmianki'!A:A,'Do podmianki'!B:B,Generators!B20)</f>
        <v>54.9</v>
      </c>
      <c r="K20">
        <v>54.9</v>
      </c>
      <c r="L20">
        <v>-19.600000000000001</v>
      </c>
      <c r="O20">
        <v>43.477249</v>
      </c>
      <c r="P20">
        <v>8.8284319499910904</v>
      </c>
      <c r="U20">
        <v>50.183391569999998</v>
      </c>
      <c r="V20">
        <v>-5.0999999046325684</v>
      </c>
    </row>
    <row r="21" spans="1:22" x14ac:dyDescent="0.25">
      <c r="A21" t="s">
        <v>214</v>
      </c>
      <c r="B21">
        <f>_xlfn.XLOOKUP(A21,'Do podmianki'!A:A,'Do podmianki'!B:B,K21)</f>
        <v>30.5</v>
      </c>
      <c r="C21">
        <f>_xlfn.XLOOKUP(A21,'Do podmianki'!B:B,'Do podmianki'!C:C,L21)</f>
        <v>172.5</v>
      </c>
      <c r="I21">
        <f>_xlfn.XLOOKUP(A21,'Do podmianki'!A:A,'Do podmianki'!B:B,Generators!B21)</f>
        <v>30.5</v>
      </c>
      <c r="K21">
        <v>30.5</v>
      </c>
      <c r="L21" s="3">
        <v>172.5</v>
      </c>
      <c r="O21">
        <v>23.70833</v>
      </c>
      <c r="P21">
        <v>4.8141817356689796</v>
      </c>
      <c r="U21">
        <v>40.867118840000003</v>
      </c>
      <c r="V21">
        <v>135.5</v>
      </c>
    </row>
    <row r="22" spans="1:22" x14ac:dyDescent="0.25">
      <c r="A22" t="s">
        <v>215</v>
      </c>
      <c r="B22">
        <f>_xlfn.XLOOKUP(A22,'Do podmianki'!A:A,'Do podmianki'!B:B,K22)</f>
        <v>59.7</v>
      </c>
      <c r="C22">
        <f>_xlfn.XLOOKUP(A22,'Do podmianki'!B:B,'Do podmianki'!C:C,L22)</f>
        <v>-20.100000000000001</v>
      </c>
      <c r="I22">
        <f>_xlfn.XLOOKUP(A22,'Do podmianki'!A:A,'Do podmianki'!B:B,Generators!B22)</f>
        <v>59.7</v>
      </c>
      <c r="K22">
        <v>59.7</v>
      </c>
      <c r="L22">
        <v>-20.100000000000001</v>
      </c>
      <c r="O22">
        <v>69.407287999999895</v>
      </c>
      <c r="P22">
        <v>14.0937509395185</v>
      </c>
      <c r="U22">
        <v>57.434909820000001</v>
      </c>
      <c r="V22">
        <v>-16.39999961853027</v>
      </c>
    </row>
    <row r="23" spans="1:22" x14ac:dyDescent="0.25">
      <c r="A23" t="s">
        <v>216</v>
      </c>
      <c r="B23">
        <f>_xlfn.XLOOKUP(A23,'Do podmianki'!A:A,'Do podmianki'!B:B,K23)</f>
        <v>18.3</v>
      </c>
      <c r="C23">
        <f>_xlfn.XLOOKUP(A23,'Do podmianki'!B:B,'Do podmianki'!C:C,L23)</f>
        <v>-17.3</v>
      </c>
      <c r="I23">
        <f>_xlfn.XLOOKUP(A23,'Do podmianki'!A:A,'Do podmianki'!B:B,Generators!B23)</f>
        <v>18.3</v>
      </c>
      <c r="K23">
        <v>18.3</v>
      </c>
      <c r="L23">
        <v>-17.3</v>
      </c>
      <c r="O23">
        <v>22.2092209999999</v>
      </c>
      <c r="P23">
        <v>4.5097746699845898</v>
      </c>
      <c r="U23">
        <v>19.851573999999999</v>
      </c>
      <c r="V23">
        <v>-4.5</v>
      </c>
    </row>
    <row r="24" spans="1:22" x14ac:dyDescent="0.25">
      <c r="A24" t="s">
        <v>217</v>
      </c>
      <c r="B24">
        <f>_xlfn.XLOOKUP(A24,'Do podmianki'!A:A,'Do podmianki'!B:B,K24)</f>
        <v>44.3</v>
      </c>
      <c r="C24">
        <f>_xlfn.XLOOKUP(A24,'Do podmianki'!B:B,'Do podmianki'!C:C,L24)</f>
        <v>230.4</v>
      </c>
      <c r="I24">
        <f>_xlfn.XLOOKUP(A24,'Do podmianki'!A:A,'Do podmianki'!B:B,Generators!B24)</f>
        <v>44.3</v>
      </c>
      <c r="K24">
        <v>44.3</v>
      </c>
      <c r="L24" s="3">
        <v>230.4</v>
      </c>
      <c r="O24">
        <v>42.277531000000003</v>
      </c>
      <c r="P24">
        <v>8.5848188197725896</v>
      </c>
      <c r="U24">
        <v>52.147441860000001</v>
      </c>
      <c r="V24">
        <v>135.5</v>
      </c>
    </row>
    <row r="25" spans="1:22" x14ac:dyDescent="0.25">
      <c r="A25" t="s">
        <v>218</v>
      </c>
      <c r="B25">
        <f>_xlfn.XLOOKUP(A25,'Do podmianki'!A:A,'Do podmianki'!B:B,K25)</f>
        <v>105.7</v>
      </c>
      <c r="C25">
        <f>_xlfn.XLOOKUP(A25,'Do podmianki'!B:B,'Do podmianki'!C:C,L25)</f>
        <v>-13.1</v>
      </c>
      <c r="I25">
        <f>_xlfn.XLOOKUP(A25,'Do podmianki'!A:A,'Do podmianki'!B:B,Generators!B25)</f>
        <v>105.7</v>
      </c>
      <c r="K25" s="3">
        <v>105.7</v>
      </c>
      <c r="L25">
        <v>-13.1</v>
      </c>
      <c r="O25" s="3">
        <v>132.97928200000001</v>
      </c>
      <c r="P25" s="3">
        <v>19.032194400453701</v>
      </c>
      <c r="U25">
        <v>77.49343872</v>
      </c>
      <c r="V25">
        <v>-11.10000038146973</v>
      </c>
    </row>
    <row r="26" spans="1:22" x14ac:dyDescent="0.25">
      <c r="A26" t="s">
        <v>219</v>
      </c>
      <c r="B26">
        <f>_xlfn.XLOOKUP(A26,'Do podmianki'!A:A,'Do podmianki'!B:B,K26)</f>
        <v>31.8</v>
      </c>
      <c r="C26">
        <f>_xlfn.XLOOKUP(A26,'Do podmianki'!B:B,'Do podmianki'!C:C,L26)</f>
        <v>230.4</v>
      </c>
      <c r="I26">
        <f>_xlfn.XLOOKUP(A26,'Do podmianki'!A:A,'Do podmianki'!B:B,Generators!B26)</f>
        <v>31.8</v>
      </c>
      <c r="K26">
        <v>31.8</v>
      </c>
      <c r="L26" s="3">
        <v>230.4</v>
      </c>
      <c r="O26">
        <v>63.72681</v>
      </c>
      <c r="P26">
        <v>12.9402806850776</v>
      </c>
      <c r="U26">
        <v>48.195030209999999</v>
      </c>
      <c r="V26">
        <v>116.8000030517578</v>
      </c>
    </row>
    <row r="27" spans="1:22" x14ac:dyDescent="0.25">
      <c r="A27" t="s">
        <v>220</v>
      </c>
      <c r="B27">
        <f>_xlfn.XLOOKUP(A27,'Do podmianki'!A:A,'Do podmianki'!B:B,K27)</f>
        <v>29.6</v>
      </c>
      <c r="C27">
        <f>_xlfn.XLOOKUP(A27,'Do podmianki'!B:B,'Do podmianki'!C:C,L27)</f>
        <v>130</v>
      </c>
      <c r="I27">
        <f>_xlfn.XLOOKUP(A27,'Do podmianki'!A:A,'Do podmianki'!B:B,Generators!B27)</f>
        <v>29.6</v>
      </c>
      <c r="K27">
        <v>29.6</v>
      </c>
      <c r="L27" s="3">
        <v>130</v>
      </c>
      <c r="O27">
        <v>25.632681000000002</v>
      </c>
      <c r="P27">
        <v>5.2049378723186797</v>
      </c>
      <c r="U27">
        <v>38.10942841</v>
      </c>
      <c r="V27">
        <v>113.5</v>
      </c>
    </row>
    <row r="28" spans="1:22" x14ac:dyDescent="0.25">
      <c r="A28" t="s">
        <v>221</v>
      </c>
      <c r="B28">
        <f>_xlfn.XLOOKUP(A28,'Do podmianki'!A:A,'Do podmianki'!B:B,K28)</f>
        <v>23.1</v>
      </c>
      <c r="C28">
        <f>_xlfn.XLOOKUP(A28,'Do podmianki'!B:B,'Do podmianki'!C:C,L28)</f>
        <v>-11.4</v>
      </c>
      <c r="I28">
        <f>_xlfn.XLOOKUP(A28,'Do podmianki'!A:A,'Do podmianki'!B:B,Generators!B28)</f>
        <v>23.1</v>
      </c>
      <c r="K28">
        <v>23.1</v>
      </c>
      <c r="L28">
        <v>-11.4</v>
      </c>
      <c r="O28">
        <v>24.813199000000001</v>
      </c>
      <c r="P28">
        <v>5.0385349549850096</v>
      </c>
      <c r="U28">
        <v>26.563720700000001</v>
      </c>
      <c r="V28">
        <v>-9.8000001907348633</v>
      </c>
    </row>
    <row r="29" spans="1:22" x14ac:dyDescent="0.25">
      <c r="A29" t="s">
        <v>222</v>
      </c>
      <c r="B29">
        <f>_xlfn.XLOOKUP(A29,'Do podmianki'!A:A,'Do podmianki'!B:B,K29)</f>
        <v>51.5</v>
      </c>
      <c r="C29">
        <f>_xlfn.XLOOKUP(A29,'Do podmianki'!B:B,'Do podmianki'!C:C,L29)</f>
        <v>-17.600000000000001</v>
      </c>
      <c r="I29">
        <f>_xlfn.XLOOKUP(A29,'Do podmianki'!A:A,'Do podmianki'!B:B,Generators!B29)</f>
        <v>51.5</v>
      </c>
      <c r="K29">
        <v>51.5</v>
      </c>
      <c r="L29">
        <v>-17.600000000000001</v>
      </c>
      <c r="O29">
        <v>30.33062</v>
      </c>
      <c r="P29">
        <v>6.1588950733989298</v>
      </c>
      <c r="U29">
        <v>28.72982025</v>
      </c>
      <c r="V29">
        <v>-17</v>
      </c>
    </row>
    <row r="30" spans="1:22" x14ac:dyDescent="0.25">
      <c r="A30" t="s">
        <v>223</v>
      </c>
      <c r="B30">
        <f>_xlfn.XLOOKUP(A30,'Do podmianki'!A:A,'Do podmianki'!B:B,K30)</f>
        <v>32.200000000000003</v>
      </c>
      <c r="C30">
        <f>_xlfn.XLOOKUP(A30,'Do podmianki'!B:B,'Do podmianki'!C:C,L30)</f>
        <v>-47.3</v>
      </c>
      <c r="I30">
        <f>_xlfn.XLOOKUP(A30,'Do podmianki'!A:A,'Do podmianki'!B:B,Generators!B30)</f>
        <v>32.200000000000003</v>
      </c>
      <c r="K30">
        <v>32.200000000000003</v>
      </c>
      <c r="L30">
        <v>-47.3</v>
      </c>
      <c r="O30">
        <v>31.723419</v>
      </c>
      <c r="P30">
        <v>6.4417149728713197</v>
      </c>
      <c r="U30">
        <v>24.498170850000001</v>
      </c>
      <c r="V30">
        <v>-36.900001525878913</v>
      </c>
    </row>
    <row r="31" spans="1:22" x14ac:dyDescent="0.25">
      <c r="A31" t="s">
        <v>224</v>
      </c>
      <c r="B31">
        <f>_xlfn.XLOOKUP(A31,'Do podmianki'!A:A,'Do podmianki'!B:B,K31)</f>
        <v>3.2</v>
      </c>
      <c r="C31">
        <f>_xlfn.XLOOKUP(A31,'Do podmianki'!B:B,'Do podmianki'!C:C,L31)</f>
        <v>-127.8</v>
      </c>
      <c r="I31">
        <f>_xlfn.XLOOKUP(A31,'Do podmianki'!A:A,'Do podmianki'!B:B,Generators!B31)</f>
        <v>3.2</v>
      </c>
      <c r="K31">
        <v>3.2</v>
      </c>
      <c r="L31" s="3">
        <v>-127.8</v>
      </c>
      <c r="O31">
        <v>3.1493959999999999</v>
      </c>
      <c r="P31">
        <v>0.63951213356609005</v>
      </c>
      <c r="U31">
        <v>3.4236199859999998</v>
      </c>
      <c r="V31">
        <v>-135.5</v>
      </c>
    </row>
    <row r="32" spans="1:22" x14ac:dyDescent="0.25">
      <c r="A32" t="s">
        <v>225</v>
      </c>
      <c r="B32">
        <f>_xlfn.XLOOKUP(A32,'Do podmianki'!A:A,'Do podmianki'!B:B,K32)</f>
        <v>66.900000000000006</v>
      </c>
      <c r="C32">
        <f>_xlfn.XLOOKUP(A32,'Do podmianki'!B:B,'Do podmianki'!C:C,L32)</f>
        <v>117.2</v>
      </c>
      <c r="I32">
        <f>_xlfn.XLOOKUP(A32,'Do podmianki'!A:A,'Do podmianki'!B:B,Generators!B32)</f>
        <v>66.900000000000006</v>
      </c>
      <c r="K32" s="3">
        <v>66.900000000000006</v>
      </c>
      <c r="L32" s="3">
        <v>117.2</v>
      </c>
      <c r="O32">
        <v>43.179932000000001</v>
      </c>
      <c r="P32">
        <v>13.151299590406399</v>
      </c>
      <c r="U32">
        <v>30.126511000000001</v>
      </c>
      <c r="V32">
        <v>135.5</v>
      </c>
    </row>
    <row r="33" spans="1:22" x14ac:dyDescent="0.25">
      <c r="A33" t="s">
        <v>226</v>
      </c>
      <c r="B33">
        <f>_xlfn.XLOOKUP(A33,'Do podmianki'!A:A,'Do podmianki'!B:B,K33)</f>
        <v>30.9</v>
      </c>
      <c r="C33">
        <f>_xlfn.XLOOKUP(A33,'Do podmianki'!B:B,'Do podmianki'!C:C,L33)</f>
        <v>116.2</v>
      </c>
      <c r="I33">
        <f>_xlfn.XLOOKUP(A33,'Do podmianki'!A:A,'Do podmianki'!B:B,Generators!B33)</f>
        <v>30.9</v>
      </c>
      <c r="K33">
        <v>30.9</v>
      </c>
      <c r="L33">
        <v>116.2</v>
      </c>
      <c r="O33">
        <v>29.687249999999899</v>
      </c>
      <c r="P33">
        <v>6.02825322290684</v>
      </c>
      <c r="U33">
        <v>25.437947000000001</v>
      </c>
      <c r="V33">
        <v>113</v>
      </c>
    </row>
    <row r="34" spans="1:22" x14ac:dyDescent="0.25">
      <c r="A34" t="s">
        <v>227</v>
      </c>
      <c r="B34">
        <f>_xlfn.XLOOKUP(A34,'Do podmianki'!A:A,'Do podmianki'!B:B,K34)</f>
        <v>13.9</v>
      </c>
      <c r="C34">
        <f>_xlfn.XLOOKUP(A34,'Do podmianki'!B:B,'Do podmianki'!C:C,L34)</f>
        <v>-9.6999999999999993</v>
      </c>
      <c r="I34">
        <f>_xlfn.XLOOKUP(A34,'Do podmianki'!A:A,'Do podmianki'!B:B,Generators!B34)</f>
        <v>13.9</v>
      </c>
      <c r="K34">
        <v>13.9</v>
      </c>
      <c r="L34">
        <v>-9.6999999999999993</v>
      </c>
      <c r="O34">
        <v>15.477270000000001</v>
      </c>
      <c r="P34">
        <v>3.1427937164708499</v>
      </c>
      <c r="U34">
        <v>12.26385975</v>
      </c>
      <c r="V34">
        <v>4</v>
      </c>
    </row>
    <row r="35" spans="1:22" x14ac:dyDescent="0.25">
      <c r="A35" t="s">
        <v>228</v>
      </c>
      <c r="B35">
        <f>_xlfn.XLOOKUP(A35,'Do podmianki'!A:A,'Do podmianki'!B:B,K35)</f>
        <v>53.9</v>
      </c>
      <c r="C35">
        <f>_xlfn.XLOOKUP(A35,'Do podmianki'!B:B,'Do podmianki'!C:C,L35)</f>
        <v>73.400000000000006</v>
      </c>
      <c r="I35">
        <f>_xlfn.XLOOKUP(A35,'Do podmianki'!A:A,'Do podmianki'!B:B,Generators!B35)</f>
        <v>53.9</v>
      </c>
      <c r="K35">
        <v>53.9</v>
      </c>
      <c r="L35" s="3">
        <v>73.400000000000006</v>
      </c>
      <c r="O35">
        <v>47.979819999999897</v>
      </c>
      <c r="P35">
        <v>9.7427179866605993</v>
      </c>
      <c r="U35">
        <v>61.250179289999998</v>
      </c>
      <c r="V35">
        <v>120.5</v>
      </c>
    </row>
    <row r="36" spans="1:22" x14ac:dyDescent="0.25">
      <c r="A36" t="s">
        <v>229</v>
      </c>
      <c r="B36">
        <f>_xlfn.XLOOKUP(A36,'Do podmianki'!A:A,'Do podmianki'!B:B,K36)</f>
        <v>6.6</v>
      </c>
      <c r="C36">
        <f>_xlfn.XLOOKUP(A36,'Do podmianki'!B:B,'Do podmianki'!C:C,L36)</f>
        <v>86.9</v>
      </c>
      <c r="I36">
        <f>_xlfn.XLOOKUP(A36,'Do podmianki'!A:A,'Do podmianki'!B:B,Generators!B36)</f>
        <v>6.6</v>
      </c>
      <c r="K36" s="3">
        <v>6.6</v>
      </c>
      <c r="L36">
        <v>86.9</v>
      </c>
      <c r="O36">
        <v>7.1241430000000001</v>
      </c>
      <c r="P36">
        <v>1.44661893574511</v>
      </c>
      <c r="U36">
        <v>6.3269791599999996</v>
      </c>
      <c r="V36">
        <v>78.800003051757813</v>
      </c>
    </row>
    <row r="37" spans="1:22" x14ac:dyDescent="0.25">
      <c r="A37" t="s">
        <v>230</v>
      </c>
      <c r="B37">
        <f>_xlfn.XLOOKUP(A37,'Do podmianki'!A:A,'Do podmianki'!B:B,K37)</f>
        <v>16.8</v>
      </c>
      <c r="C37">
        <f>_xlfn.XLOOKUP(A37,'Do podmianki'!B:B,'Do podmianki'!C:C,L37)</f>
        <v>-95.5</v>
      </c>
      <c r="I37">
        <f>_xlfn.XLOOKUP(A37,'Do podmianki'!A:A,'Do podmianki'!B:B,Generators!B37)</f>
        <v>16.8</v>
      </c>
      <c r="K37">
        <v>16.8</v>
      </c>
      <c r="L37" s="3">
        <v>-95.5</v>
      </c>
      <c r="O37">
        <v>17.944410000000001</v>
      </c>
      <c r="P37">
        <v>3.6437678604674302</v>
      </c>
      <c r="U37">
        <v>15.33603001</v>
      </c>
      <c r="V37">
        <v>-135.5</v>
      </c>
    </row>
    <row r="38" spans="1:22" x14ac:dyDescent="0.25">
      <c r="A38" t="s">
        <v>231</v>
      </c>
      <c r="B38">
        <f>_xlfn.XLOOKUP(A38,'Do podmianki'!A:A,'Do podmianki'!B:B,K38)</f>
        <v>62.3</v>
      </c>
      <c r="C38">
        <f>_xlfn.XLOOKUP(A38,'Do podmianki'!B:B,'Do podmianki'!C:C,L38)</f>
        <v>-109.6</v>
      </c>
      <c r="I38">
        <f>_xlfn.XLOOKUP(A38,'Do podmianki'!A:A,'Do podmianki'!B:B,Generators!B38)</f>
        <v>62.3</v>
      </c>
      <c r="K38" s="3">
        <v>62.3</v>
      </c>
      <c r="L38" s="3">
        <v>-109.6</v>
      </c>
      <c r="O38">
        <v>63.749619000000003</v>
      </c>
      <c r="P38">
        <v>12.944912250068001</v>
      </c>
      <c r="U38">
        <v>74.605667109999999</v>
      </c>
      <c r="V38">
        <v>-135.5</v>
      </c>
    </row>
    <row r="39" spans="1:22" x14ac:dyDescent="0.25">
      <c r="A39" t="s">
        <v>232</v>
      </c>
      <c r="B39">
        <f>_xlfn.XLOOKUP(A39,'Do podmianki'!A:A,'Do podmianki'!B:B,K39)</f>
        <v>11.2</v>
      </c>
      <c r="C39">
        <f>_xlfn.XLOOKUP(A39,'Do podmianki'!B:B,'Do podmianki'!C:C,L39)</f>
        <v>110.1</v>
      </c>
      <c r="I39">
        <f>_xlfn.XLOOKUP(A39,'Do podmianki'!A:A,'Do podmianki'!B:B,Generators!B39)</f>
        <v>11.2</v>
      </c>
      <c r="K39" s="3">
        <v>11.2</v>
      </c>
      <c r="L39" s="3">
        <v>110.1</v>
      </c>
      <c r="O39">
        <v>5.8496329999999999</v>
      </c>
      <c r="P39">
        <v>1.18781864218047</v>
      </c>
      <c r="U39">
        <v>7.6812620000000003</v>
      </c>
      <c r="V39">
        <v>119.6999969482422</v>
      </c>
    </row>
    <row r="40" spans="1:22" x14ac:dyDescent="0.25">
      <c r="A40" t="s">
        <v>233</v>
      </c>
      <c r="B40">
        <f>_xlfn.XLOOKUP(A40,'Do podmianki'!A:A,'Do podmianki'!B:B,K40)</f>
        <v>10.7</v>
      </c>
      <c r="C40">
        <f>_xlfn.XLOOKUP(A40,'Do podmianki'!B:B,'Do podmianki'!C:C,L40)</f>
        <v>-93.5</v>
      </c>
      <c r="I40">
        <f>_xlfn.XLOOKUP(A40,'Do podmianki'!A:A,'Do podmianki'!B:B,Generators!B40)</f>
        <v>10.7</v>
      </c>
      <c r="K40">
        <v>10.7</v>
      </c>
      <c r="L40" s="3">
        <v>-93.5</v>
      </c>
      <c r="O40">
        <v>13.39883</v>
      </c>
      <c r="P40">
        <v>2.7207484738627099</v>
      </c>
      <c r="U40">
        <v>12.700440410000001</v>
      </c>
      <c r="V40">
        <v>-126.6999969482422</v>
      </c>
    </row>
    <row r="41" spans="1:22" x14ac:dyDescent="0.25">
      <c r="A41" t="s">
        <v>234</v>
      </c>
      <c r="B41">
        <f>_xlfn.XLOOKUP(A41,'Do podmianki'!A:A,'Do podmianki'!B:B,K41)</f>
        <v>118.8</v>
      </c>
      <c r="C41">
        <f>_xlfn.XLOOKUP(A41,'Do podmianki'!B:B,'Do podmianki'!C:C,L41)</f>
        <v>146.9</v>
      </c>
      <c r="I41">
        <f>_xlfn.XLOOKUP(A41,'Do podmianki'!A:A,'Do podmianki'!B:B,Generators!B41)</f>
        <v>118.8</v>
      </c>
      <c r="K41" s="3">
        <v>118.8</v>
      </c>
      <c r="L41" s="3">
        <v>146.9</v>
      </c>
      <c r="O41" s="3">
        <v>157.083405</v>
      </c>
      <c r="P41" s="3">
        <v>31.897145827128799</v>
      </c>
      <c r="U41">
        <v>161.091095</v>
      </c>
      <c r="V41">
        <v>135.5</v>
      </c>
    </row>
    <row r="42" spans="1:22" x14ac:dyDescent="0.25">
      <c r="A42" t="s">
        <v>235</v>
      </c>
      <c r="B42">
        <f>_xlfn.XLOOKUP(A42,'Do podmianki'!A:A,'Do podmianki'!B:B,K42)</f>
        <v>55.7</v>
      </c>
      <c r="C42">
        <f>_xlfn.XLOOKUP(A42,'Do podmianki'!B:B,'Do podmianki'!C:C,L42)</f>
        <v>-73.900000000000006</v>
      </c>
      <c r="I42">
        <f>_xlfn.XLOOKUP(A42,'Do podmianki'!A:A,'Do podmianki'!B:B,Generators!B42)</f>
        <v>55.7</v>
      </c>
      <c r="K42">
        <v>55.7</v>
      </c>
      <c r="L42">
        <v>-73.900000000000006</v>
      </c>
      <c r="O42">
        <v>50.8502879999999</v>
      </c>
      <c r="P42">
        <v>10.3255913741333</v>
      </c>
      <c r="U42">
        <v>40.939590449999997</v>
      </c>
      <c r="V42">
        <v>-78.5</v>
      </c>
    </row>
    <row r="43" spans="1:22" x14ac:dyDescent="0.25">
      <c r="A43" t="s">
        <v>236</v>
      </c>
      <c r="B43">
        <f>_xlfn.XLOOKUP(A43,'Do podmianki'!A:A,'Do podmianki'!B:B,K43)</f>
        <v>43.2</v>
      </c>
      <c r="C43">
        <f>_xlfn.XLOOKUP(A43,'Do podmianki'!B:B,'Do podmianki'!C:C,L43)</f>
        <v>121.2</v>
      </c>
      <c r="I43">
        <f>_xlfn.XLOOKUP(A43,'Do podmianki'!A:A,'Do podmianki'!B:B,Generators!B43)</f>
        <v>43.2</v>
      </c>
      <c r="K43">
        <v>43.2</v>
      </c>
      <c r="L43" s="3">
        <v>121.2</v>
      </c>
      <c r="O43">
        <v>40.743568000000003</v>
      </c>
      <c r="P43">
        <v>8.2733343475304704</v>
      </c>
      <c r="U43">
        <v>40.68016815</v>
      </c>
      <c r="V43">
        <v>120.1999969482422</v>
      </c>
    </row>
    <row r="44" spans="1:22" x14ac:dyDescent="0.25">
      <c r="A44" t="s">
        <v>237</v>
      </c>
      <c r="B44">
        <f>_xlfn.XLOOKUP(A44,'Do podmianki'!A:A,'Do podmianki'!B:B,K44)</f>
        <v>70.8</v>
      </c>
      <c r="C44">
        <f>_xlfn.XLOOKUP(A44,'Do podmianki'!B:B,'Do podmianki'!C:C,L44)</f>
        <v>-96.9</v>
      </c>
      <c r="I44">
        <f>_xlfn.XLOOKUP(A44,'Do podmianki'!A:A,'Do podmianki'!B:B,Generators!B44)</f>
        <v>70.8</v>
      </c>
      <c r="K44">
        <v>70.8</v>
      </c>
      <c r="L44" s="3">
        <v>-96.9</v>
      </c>
      <c r="O44">
        <v>88.186836</v>
      </c>
      <c r="P44">
        <v>17.907100803710499</v>
      </c>
      <c r="U44">
        <v>68.832093</v>
      </c>
      <c r="V44">
        <v>-113.6999969482422</v>
      </c>
    </row>
    <row r="45" spans="1:22" x14ac:dyDescent="0.25">
      <c r="A45" t="s">
        <v>238</v>
      </c>
      <c r="B45">
        <f>_xlfn.XLOOKUP(A45,'Do podmianki'!A:A,'Do podmianki'!B:B,K45)</f>
        <v>47.8</v>
      </c>
      <c r="C45">
        <f>_xlfn.XLOOKUP(A45,'Do podmianki'!B:B,'Do podmianki'!C:C,L45)</f>
        <v>-98.5</v>
      </c>
      <c r="I45">
        <f>_xlfn.XLOOKUP(A45,'Do podmianki'!A:A,'Do podmianki'!B:B,Generators!B45)</f>
        <v>47.8</v>
      </c>
      <c r="K45">
        <v>47.8</v>
      </c>
      <c r="L45" s="3">
        <v>-98.5</v>
      </c>
      <c r="O45" s="3">
        <v>-484.22674999999998</v>
      </c>
      <c r="P45" s="3">
        <v>-98.326435298156696</v>
      </c>
      <c r="U45">
        <v>7.4983229639999998</v>
      </c>
      <c r="V45">
        <v>-135.5</v>
      </c>
    </row>
    <row r="46" spans="1:22" x14ac:dyDescent="0.25">
      <c r="A46" t="s">
        <v>239</v>
      </c>
      <c r="B46">
        <f>_xlfn.XLOOKUP(A46,'Do podmianki'!A:A,'Do podmianki'!B:B,K46)</f>
        <v>46.9</v>
      </c>
      <c r="C46">
        <f>_xlfn.XLOOKUP(A46,'Do podmianki'!B:B,'Do podmianki'!C:C,L46)</f>
        <v>1.1000000000000001</v>
      </c>
      <c r="I46">
        <f>_xlfn.XLOOKUP(A46,'Do podmianki'!A:A,'Do podmianki'!B:B,Generators!B46)</f>
        <v>46.9</v>
      </c>
      <c r="K46">
        <v>46.9</v>
      </c>
      <c r="L46">
        <v>1.1000000000000001</v>
      </c>
      <c r="O46">
        <v>38.784821000000001</v>
      </c>
      <c r="P46">
        <v>7.87559380518959</v>
      </c>
      <c r="U46">
        <v>38.39289093</v>
      </c>
      <c r="V46">
        <v>2.0999999046325679</v>
      </c>
    </row>
    <row r="47" spans="1:22" x14ac:dyDescent="0.25">
      <c r="A47" t="s">
        <v>240</v>
      </c>
      <c r="B47">
        <f>_xlfn.XLOOKUP(A47,'Do podmianki'!A:A,'Do podmianki'!B:B,K47)</f>
        <v>142.1</v>
      </c>
      <c r="C47">
        <f>_xlfn.XLOOKUP(A47,'Do podmianki'!B:B,'Do podmianki'!C:C,L47)</f>
        <v>8.5</v>
      </c>
      <c r="I47">
        <f>_xlfn.XLOOKUP(A47,'Do podmianki'!A:A,'Do podmianki'!B:B,Generators!B47)</f>
        <v>142.1</v>
      </c>
      <c r="K47" s="3">
        <v>142.1</v>
      </c>
      <c r="L47">
        <v>8.5</v>
      </c>
      <c r="O47" s="3">
        <v>132.50559999999999</v>
      </c>
      <c r="P47" s="3">
        <v>26.906409662504998</v>
      </c>
      <c r="U47">
        <v>136.37049870000001</v>
      </c>
      <c r="V47">
        <v>9.6999998092651367</v>
      </c>
    </row>
    <row r="48" spans="1:22" x14ac:dyDescent="0.25">
      <c r="A48" t="s">
        <v>241</v>
      </c>
      <c r="B48">
        <f>_xlfn.XLOOKUP(A48,'Do podmianki'!A:A,'Do podmianki'!B:B,K48)</f>
        <v>143.5</v>
      </c>
      <c r="C48">
        <f>_xlfn.XLOOKUP(A48,'Do podmianki'!B:B,'Do podmianki'!C:C,L48)</f>
        <v>-98.3</v>
      </c>
      <c r="I48">
        <f>_xlfn.XLOOKUP(A48,'Do podmianki'!A:A,'Do podmianki'!B:B,Generators!B48)</f>
        <v>143.5</v>
      </c>
      <c r="K48">
        <v>143.5</v>
      </c>
      <c r="L48" s="3">
        <v>-98.3</v>
      </c>
      <c r="O48" s="3">
        <v>168.813603</v>
      </c>
      <c r="P48" s="3">
        <v>33.169009993670599</v>
      </c>
      <c r="U48">
        <v>93.172719000000001</v>
      </c>
      <c r="V48">
        <v>-135.5</v>
      </c>
    </row>
    <row r="49" spans="1:22" x14ac:dyDescent="0.25">
      <c r="A49" t="s">
        <v>242</v>
      </c>
      <c r="B49">
        <f>_xlfn.XLOOKUP(A49,'Do podmianki'!A:A,'Do podmianki'!B:B,K49)</f>
        <v>22.3</v>
      </c>
      <c r="C49">
        <f>_xlfn.XLOOKUP(A49,'Do podmianki'!B:B,'Do podmianki'!C:C,L49)</f>
        <v>-100.6</v>
      </c>
      <c r="I49">
        <f>_xlfn.XLOOKUP(A49,'Do podmianki'!A:A,'Do podmianki'!B:B,Generators!B49)</f>
        <v>22.3</v>
      </c>
      <c r="K49">
        <v>22.3</v>
      </c>
      <c r="L49" s="3">
        <v>-100.6</v>
      </c>
      <c r="O49">
        <v>17.334520000000001</v>
      </c>
      <c r="P49">
        <v>3.5199244139333499</v>
      </c>
      <c r="U49">
        <v>9.2773690000000002</v>
      </c>
      <c r="V49">
        <v>-135.5</v>
      </c>
    </row>
    <row r="50" spans="1:22" x14ac:dyDescent="0.25">
      <c r="A50" t="s">
        <v>243</v>
      </c>
      <c r="B50">
        <f>_xlfn.XLOOKUP(A50,'Do podmianki'!A:A,'Do podmianki'!B:B,K50)</f>
        <v>26.8</v>
      </c>
      <c r="C50">
        <f>_xlfn.XLOOKUP(A50,'Do podmianki'!B:B,'Do podmianki'!C:C,L50)</f>
        <v>128.1</v>
      </c>
      <c r="I50">
        <f>_xlfn.XLOOKUP(A50,'Do podmianki'!A:A,'Do podmianki'!B:B,Generators!B50)</f>
        <v>26.8</v>
      </c>
      <c r="K50">
        <v>26.8</v>
      </c>
      <c r="L50">
        <v>128.1</v>
      </c>
      <c r="O50">
        <v>22.679189999999899</v>
      </c>
      <c r="P50">
        <v>4.6052059456640997</v>
      </c>
      <c r="U50">
        <v>22.744516999999998</v>
      </c>
      <c r="V50">
        <v>121</v>
      </c>
    </row>
    <row r="51" spans="1:22" x14ac:dyDescent="0.25">
      <c r="A51" t="s">
        <v>244</v>
      </c>
      <c r="B51">
        <f>_xlfn.XLOOKUP(A51,'Do podmianki'!A:A,'Do podmianki'!B:B,K51)</f>
        <v>37.5</v>
      </c>
      <c r="C51">
        <f>_xlfn.XLOOKUP(A51,'Do podmianki'!B:B,'Do podmianki'!C:C,L51)</f>
        <v>-79.900000000000006</v>
      </c>
      <c r="I51">
        <f>_xlfn.XLOOKUP(A51,'Do podmianki'!A:A,'Do podmianki'!B:B,Generators!B51)</f>
        <v>37.5</v>
      </c>
      <c r="K51">
        <v>37.5</v>
      </c>
      <c r="L51">
        <v>-79.900000000000006</v>
      </c>
      <c r="O51">
        <v>51.239761000000001</v>
      </c>
      <c r="P51">
        <v>10.4046772398664</v>
      </c>
      <c r="U51">
        <v>36.710448999999997</v>
      </c>
      <c r="V51">
        <v>-8</v>
      </c>
    </row>
    <row r="52" spans="1:22" x14ac:dyDescent="0.25">
      <c r="A52" t="s">
        <v>245</v>
      </c>
      <c r="B52">
        <f>_xlfn.XLOOKUP(A52,'Do podmianki'!A:A,'Do podmianki'!B:B,K52)</f>
        <v>53.3</v>
      </c>
      <c r="C52">
        <f>_xlfn.XLOOKUP(A52,'Do podmianki'!B:B,'Do podmianki'!C:C,L52)</f>
        <v>-16.899999999999999</v>
      </c>
      <c r="I52">
        <f>_xlfn.XLOOKUP(A52,'Do podmianki'!A:A,'Do podmianki'!B:B,Generators!B52)</f>
        <v>53.3</v>
      </c>
      <c r="K52">
        <v>53.3</v>
      </c>
      <c r="L52">
        <v>-16.899999999999999</v>
      </c>
      <c r="O52">
        <v>64.999779000000004</v>
      </c>
      <c r="P52">
        <v>13.198768065246201</v>
      </c>
      <c r="U52">
        <v>52.172730999999999</v>
      </c>
      <c r="V52">
        <v>-3.0999999046325679</v>
      </c>
    </row>
    <row r="53" spans="1:22" x14ac:dyDescent="0.25">
      <c r="A53" t="s">
        <v>246</v>
      </c>
      <c r="B53">
        <f>_xlfn.XLOOKUP(A53,'Do podmianki'!A:A,'Do podmianki'!B:B,K53)</f>
        <v>62</v>
      </c>
      <c r="C53">
        <f>_xlfn.XLOOKUP(A53,'Do podmianki'!B:B,'Do podmianki'!C:C,L53)</f>
        <v>-4.5999999999999996</v>
      </c>
      <c r="I53">
        <f>_xlfn.XLOOKUP(A53,'Do podmianki'!A:A,'Do podmianki'!B:B,Generators!B53)</f>
        <v>62</v>
      </c>
      <c r="K53">
        <v>62</v>
      </c>
      <c r="L53">
        <v>-4.5999999999999996</v>
      </c>
      <c r="O53">
        <v>47.7209819999999</v>
      </c>
      <c r="P53">
        <v>9.6901586890594196</v>
      </c>
      <c r="U53">
        <v>41.598526999999997</v>
      </c>
      <c r="V53">
        <v>-2</v>
      </c>
    </row>
    <row r="54" spans="1:22" x14ac:dyDescent="0.25">
      <c r="A54" t="s">
        <v>247</v>
      </c>
      <c r="B54">
        <f>_xlfn.XLOOKUP(A54,'Do podmianki'!A:A,'Do podmianki'!B:B,K54)</f>
        <v>18.899999999999999</v>
      </c>
      <c r="C54">
        <f>_xlfn.XLOOKUP(A54,'Do podmianki'!B:B,'Do podmianki'!C:C,L54)</f>
        <v>-2.7</v>
      </c>
      <c r="I54">
        <f>_xlfn.XLOOKUP(A54,'Do podmianki'!A:A,'Do podmianki'!B:B,Generators!B54)</f>
        <v>18.899999999999999</v>
      </c>
      <c r="K54">
        <v>18.899999999999999</v>
      </c>
      <c r="L54" s="3">
        <v>-2.7</v>
      </c>
      <c r="O54">
        <v>25.353539999999899</v>
      </c>
      <c r="P54">
        <v>5.1482558747306397</v>
      </c>
      <c r="U54">
        <v>14.963498</v>
      </c>
      <c r="V54">
        <v>135.5</v>
      </c>
    </row>
    <row r="55" spans="1:22" x14ac:dyDescent="0.25">
      <c r="A55" t="s">
        <v>248</v>
      </c>
      <c r="B55">
        <f>_xlfn.XLOOKUP(A55,'Do podmianki'!A:A,'Do podmianki'!B:B,K55)</f>
        <v>8</v>
      </c>
      <c r="C55">
        <f>_xlfn.XLOOKUP(A55,'Do podmianki'!B:B,'Do podmianki'!C:C,L55)</f>
        <v>169.5</v>
      </c>
      <c r="I55">
        <f>_xlfn.XLOOKUP(A55,'Do podmianki'!A:A,'Do podmianki'!B:B,Generators!B55)</f>
        <v>8</v>
      </c>
      <c r="K55" s="3">
        <v>8</v>
      </c>
      <c r="L55">
        <v>169.5</v>
      </c>
      <c r="O55">
        <v>7.0505940000000002</v>
      </c>
      <c r="P55">
        <v>1.43168417431414</v>
      </c>
      <c r="U55">
        <v>4.3892930000000003</v>
      </c>
      <c r="V55">
        <v>-40.599998474121087</v>
      </c>
    </row>
    <row r="56" spans="1:22" x14ac:dyDescent="0.25">
      <c r="A56" t="s">
        <v>249</v>
      </c>
      <c r="B56">
        <f>_xlfn.XLOOKUP(A56,'Do podmianki'!A:A,'Do podmianki'!B:B,K56)</f>
        <v>229.8</v>
      </c>
      <c r="C56">
        <f>_xlfn.XLOOKUP(A56,'Do podmianki'!B:B,'Do podmianki'!C:C,L56)</f>
        <v>-25.4</v>
      </c>
      <c r="I56">
        <f>_xlfn.XLOOKUP(A56,'Do podmianki'!A:A,'Do podmianki'!B:B,Generators!B56)</f>
        <v>229.8</v>
      </c>
      <c r="K56">
        <v>229.8</v>
      </c>
      <c r="L56">
        <v>-25.4</v>
      </c>
      <c r="O56" s="3">
        <v>310.66879299999999</v>
      </c>
      <c r="P56" s="3">
        <v>0</v>
      </c>
      <c r="U56">
        <v>207.99262899999999</v>
      </c>
      <c r="V56">
        <v>-7.4000000953674316</v>
      </c>
    </row>
    <row r="57" spans="1:22" x14ac:dyDescent="0.25">
      <c r="A57" t="s">
        <v>250</v>
      </c>
      <c r="B57">
        <f>_xlfn.XLOOKUP(A57,'Do podmianki'!A:A,'Do podmianki'!B:B,K57)</f>
        <v>33.799999999999997</v>
      </c>
      <c r="C57">
        <f>_xlfn.XLOOKUP(A57,'Do podmianki'!B:B,'Do podmianki'!C:C,L57)</f>
        <v>-30.5</v>
      </c>
      <c r="I57">
        <f>_xlfn.XLOOKUP(A57,'Do podmianki'!A:A,'Do podmianki'!B:B,Generators!B57)</f>
        <v>33.799999999999997</v>
      </c>
      <c r="K57">
        <v>33.799999999999997</v>
      </c>
      <c r="L57">
        <v>-30.5</v>
      </c>
      <c r="O57">
        <v>40.366821000000002</v>
      </c>
      <c r="P57">
        <v>8.19683260631259</v>
      </c>
      <c r="U57">
        <v>41.199497999999998</v>
      </c>
      <c r="V57">
        <v>40.599998474121087</v>
      </c>
    </row>
    <row r="58" spans="1:22" x14ac:dyDescent="0.25">
      <c r="A58" t="s">
        <v>251</v>
      </c>
      <c r="B58">
        <f>_xlfn.XLOOKUP(A58,'Do podmianki'!A:A,'Do podmianki'!B:B,K58)</f>
        <v>28.3</v>
      </c>
      <c r="C58">
        <f>_xlfn.XLOOKUP(A58,'Do podmianki'!B:B,'Do podmianki'!C:C,L58)</f>
        <v>-8.6</v>
      </c>
      <c r="I58">
        <f>_xlfn.XLOOKUP(A58,'Do podmianki'!A:A,'Do podmianki'!B:B,Generators!B58)</f>
        <v>28.3</v>
      </c>
      <c r="K58">
        <v>28.3</v>
      </c>
      <c r="L58">
        <v>-8.6</v>
      </c>
      <c r="O58">
        <v>33.0662799999999</v>
      </c>
      <c r="P58">
        <v>6.7143945289489499</v>
      </c>
      <c r="U58">
        <v>37.807774000000002</v>
      </c>
      <c r="V58">
        <v>39.299999237060547</v>
      </c>
    </row>
    <row r="59" spans="1:22" x14ac:dyDescent="0.25">
      <c r="A59" t="s">
        <v>252</v>
      </c>
      <c r="B59">
        <f>_xlfn.XLOOKUP(A59,'Do podmianki'!A:A,'Do podmianki'!B:B,K59)</f>
        <v>80</v>
      </c>
      <c r="C59">
        <f>_xlfn.XLOOKUP(A59,'Do podmianki'!B:B,'Do podmianki'!C:C,L59)</f>
        <v>11.4</v>
      </c>
      <c r="I59">
        <v>102.4</v>
      </c>
      <c r="K59">
        <v>80</v>
      </c>
      <c r="L59">
        <v>11.4</v>
      </c>
      <c r="O59">
        <v>81.202301000000006</v>
      </c>
      <c r="P59">
        <v>0</v>
      </c>
      <c r="U59">
        <v>22.744516999999998</v>
      </c>
      <c r="V59">
        <v>53.5</v>
      </c>
    </row>
    <row r="60" spans="1:22" x14ac:dyDescent="0.25">
      <c r="A60" t="s">
        <v>253</v>
      </c>
      <c r="B60">
        <f>_xlfn.XLOOKUP(A60,'Do podmianki'!A:A,'Do podmianki'!B:B,K60)</f>
        <v>63.5</v>
      </c>
      <c r="C60">
        <f>_xlfn.XLOOKUP(A60,'Do podmianki'!B:B,'Do podmianki'!C:C,L60)</f>
        <v>64.5</v>
      </c>
      <c r="I60">
        <f>_xlfn.XLOOKUP(A60,'Do podmianki'!A:A,'Do podmianki'!B:B,Generators!B60)</f>
        <v>63.5</v>
      </c>
      <c r="K60">
        <v>63.5</v>
      </c>
      <c r="L60" s="3">
        <v>64.5</v>
      </c>
      <c r="O60">
        <v>82.438659999999899</v>
      </c>
      <c r="P60">
        <v>25.095948496838499</v>
      </c>
      <c r="U60">
        <v>51.474432999999998</v>
      </c>
      <c r="V60">
        <v>-135.5</v>
      </c>
    </row>
    <row r="61" spans="1:22" x14ac:dyDescent="0.25">
      <c r="A61" t="s">
        <v>254</v>
      </c>
      <c r="B61">
        <f>_xlfn.XLOOKUP(A61,'Do podmianki'!A:A,'Do podmianki'!B:B,K61)</f>
        <v>40.6</v>
      </c>
      <c r="C61">
        <f>_xlfn.XLOOKUP(A61,'Do podmianki'!B:B,'Do podmianki'!C:C,L61)</f>
        <v>-100.2</v>
      </c>
      <c r="I61">
        <f>_xlfn.XLOOKUP(A61,'Do podmianki'!A:A,'Do podmianki'!B:B,Generators!B61)</f>
        <v>40.6</v>
      </c>
      <c r="K61">
        <v>40.6</v>
      </c>
      <c r="L61">
        <v>-100.2</v>
      </c>
      <c r="O61">
        <v>35.697040999999899</v>
      </c>
      <c r="P61">
        <v>7.24859333405713</v>
      </c>
      <c r="U61">
        <v>28.231133</v>
      </c>
      <c r="V61">
        <v>25.79999923706055</v>
      </c>
    </row>
    <row r="62" spans="1:22" x14ac:dyDescent="0.25">
      <c r="A62" t="s">
        <v>255</v>
      </c>
      <c r="B62">
        <f>_xlfn.XLOOKUP(A62,'Do podmianki'!A:A,'Do podmianki'!B:B,K62)</f>
        <v>31.7</v>
      </c>
      <c r="C62">
        <f>_xlfn.XLOOKUP(A62,'Do podmianki'!B:B,'Do podmianki'!C:C,L62)</f>
        <v>-6.3</v>
      </c>
      <c r="I62">
        <f>_xlfn.XLOOKUP(A62,'Do podmianki'!A:A,'Do podmianki'!B:B,Generators!B62)</f>
        <v>31.7</v>
      </c>
      <c r="K62">
        <v>31.7</v>
      </c>
      <c r="L62">
        <v>-6.3</v>
      </c>
      <c r="O62">
        <v>40.4652099999999</v>
      </c>
      <c r="P62">
        <v>0.28990616395633101</v>
      </c>
      <c r="U62">
        <v>38.206798999999997</v>
      </c>
      <c r="V62">
        <v>0.69999998807907104</v>
      </c>
    </row>
    <row r="63" spans="1:22" x14ac:dyDescent="0.25">
      <c r="A63" t="s">
        <v>256</v>
      </c>
      <c r="B63">
        <f>_xlfn.XLOOKUP(A63,'Do podmianki'!A:A,'Do podmianki'!B:B,K63)</f>
        <v>77</v>
      </c>
      <c r="C63">
        <f>_xlfn.XLOOKUP(A63,'Do podmianki'!B:B,'Do podmianki'!C:C,L63)</f>
        <v>-10.4</v>
      </c>
      <c r="I63">
        <f>_xlfn.XLOOKUP(A63,'Do podmianki'!A:A,'Do podmianki'!B:B,Generators!B63)</f>
        <v>77</v>
      </c>
      <c r="K63">
        <v>77</v>
      </c>
      <c r="L63">
        <v>-10.4</v>
      </c>
      <c r="O63">
        <v>67.663071000000002</v>
      </c>
      <c r="P63">
        <v>13.7395725716435</v>
      </c>
      <c r="U63">
        <v>64.343042999999994</v>
      </c>
      <c r="V63">
        <v>-6.8000001907348633</v>
      </c>
    </row>
    <row r="64" spans="1:22" x14ac:dyDescent="0.25">
      <c r="A64" t="s">
        <v>257</v>
      </c>
      <c r="B64">
        <f>_xlfn.XLOOKUP(A64,'Do podmianki'!A:A,'Do podmianki'!B:B,K64)</f>
        <v>96.7</v>
      </c>
      <c r="C64">
        <f>_xlfn.XLOOKUP(A64,'Do podmianki'!B:B,'Do podmianki'!C:C,L64)</f>
        <v>-20.100000000000001</v>
      </c>
      <c r="I64">
        <f>_xlfn.XLOOKUP(A64,'Do podmianki'!A:A,'Do podmianki'!B:B,Generators!B64)</f>
        <v>96.7</v>
      </c>
      <c r="K64">
        <v>96.7</v>
      </c>
      <c r="L64" s="3">
        <v>-20.100000000000001</v>
      </c>
      <c r="O64" s="3">
        <v>107.08049800000001</v>
      </c>
      <c r="P64" s="3">
        <v>12.1133488514559</v>
      </c>
      <c r="U64">
        <v>80.802892</v>
      </c>
      <c r="V64">
        <v>-135.5</v>
      </c>
    </row>
    <row r="65" spans="1:22" x14ac:dyDescent="0.25">
      <c r="A65" t="s">
        <v>258</v>
      </c>
      <c r="B65">
        <f>_xlfn.XLOOKUP(A65,'Do podmianki'!A:A,'Do podmianki'!B:B,K65)</f>
        <v>41.5</v>
      </c>
      <c r="C65">
        <f>_xlfn.XLOOKUP(A65,'Do podmianki'!B:B,'Do podmianki'!C:C,L65)</f>
        <v>-48.8</v>
      </c>
      <c r="I65">
        <f>_xlfn.XLOOKUP(A65,'Do podmianki'!A:A,'Do podmianki'!B:B,Generators!B65)</f>
        <v>41.5</v>
      </c>
      <c r="K65">
        <v>41.5</v>
      </c>
      <c r="L65">
        <v>-48.8</v>
      </c>
      <c r="O65">
        <v>31.7334999999999</v>
      </c>
      <c r="P65">
        <v>6.4437620072291697</v>
      </c>
      <c r="U65">
        <v>27.73235</v>
      </c>
      <c r="V65">
        <v>7.9999999680335776E-11</v>
      </c>
    </row>
    <row r="66" spans="1:22" x14ac:dyDescent="0.25">
      <c r="A66" t="s">
        <v>259</v>
      </c>
      <c r="B66">
        <f>_xlfn.XLOOKUP(A66,'Do podmianki'!A:A,'Do podmianki'!B:B,K66)</f>
        <v>1.2</v>
      </c>
      <c r="C66">
        <f>_xlfn.XLOOKUP(A66,'Do podmianki'!B:B,'Do podmianki'!C:C,L66)</f>
        <v>0.4</v>
      </c>
      <c r="I66">
        <f>_xlfn.XLOOKUP(A66,'Do podmianki'!A:A,'Do podmianki'!B:B,Generators!B66)</f>
        <v>1.2</v>
      </c>
      <c r="K66">
        <v>1.2</v>
      </c>
      <c r="L66">
        <v>0.4</v>
      </c>
      <c r="O66">
        <v>0.91190199999999999</v>
      </c>
      <c r="P66">
        <v>0.18516959874947</v>
      </c>
      <c r="U66">
        <v>0.59853999999999996</v>
      </c>
      <c r="V66">
        <v>0</v>
      </c>
    </row>
  </sheetData>
  <mergeCells count="2">
    <mergeCell ref="O1:P1"/>
    <mergeCell ref="U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8"/>
  <sheetViews>
    <sheetView workbookViewId="0">
      <selection activeCell="K2" sqref="K2:L10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K1" t="s">
        <v>537</v>
      </c>
    </row>
    <row r="2" spans="1:12" x14ac:dyDescent="0.25">
      <c r="A2" t="s">
        <v>260</v>
      </c>
      <c r="B2">
        <f>_xlfn.XLOOKUP(A2,'Do podmianki'!A:A,'Do podmianki'!B:B,K2)</f>
        <v>1E-10</v>
      </c>
      <c r="C2">
        <v>0</v>
      </c>
      <c r="K2" s="3">
        <v>1E-10</v>
      </c>
      <c r="L2">
        <v>0</v>
      </c>
    </row>
    <row r="3" spans="1:12" x14ac:dyDescent="0.25">
      <c r="A3" t="s">
        <v>261</v>
      </c>
      <c r="B3">
        <f>_xlfn.XLOOKUP(A3,'Do podmianki'!A:A,'Do podmianki'!B:B,K3)</f>
        <v>1E-10</v>
      </c>
      <c r="C3">
        <v>0</v>
      </c>
      <c r="K3" s="3">
        <v>1E-10</v>
      </c>
      <c r="L3">
        <v>0</v>
      </c>
    </row>
    <row r="4" spans="1:12" x14ac:dyDescent="0.25">
      <c r="A4" t="s">
        <v>262</v>
      </c>
      <c r="B4">
        <f>_xlfn.XLOOKUP(A4,'Do podmianki'!A:A,'Do podmianki'!B:B,K4)</f>
        <v>1E-10</v>
      </c>
      <c r="C4">
        <v>0</v>
      </c>
      <c r="K4" s="3">
        <v>1E-10</v>
      </c>
      <c r="L4">
        <v>0</v>
      </c>
    </row>
    <row r="5" spans="1:12" x14ac:dyDescent="0.25">
      <c r="A5" t="s">
        <v>263</v>
      </c>
      <c r="B5">
        <f>_xlfn.XLOOKUP(A5,'Do podmianki'!A:A,'Do podmianki'!B:B,K5)</f>
        <v>1E-10</v>
      </c>
      <c r="C5">
        <v>0</v>
      </c>
      <c r="K5" s="3">
        <v>1E-10</v>
      </c>
      <c r="L5">
        <v>0</v>
      </c>
    </row>
    <row r="6" spans="1:12" x14ac:dyDescent="0.25">
      <c r="A6" t="s">
        <v>264</v>
      </c>
      <c r="B6">
        <f>_xlfn.XLOOKUP(A6,'Do podmianki'!A:A,'Do podmianki'!B:B,K6)</f>
        <v>1E-10</v>
      </c>
      <c r="C6">
        <v>0</v>
      </c>
      <c r="K6" s="3">
        <v>1E-10</v>
      </c>
      <c r="L6">
        <v>0</v>
      </c>
    </row>
    <row r="7" spans="1:12" x14ac:dyDescent="0.25">
      <c r="A7" t="s">
        <v>265</v>
      </c>
      <c r="B7">
        <f>_xlfn.XLOOKUP(A7,'Do podmianki'!A:A,'Do podmianki'!B:B,K7)</f>
        <v>1E-10</v>
      </c>
      <c r="C7">
        <v>0</v>
      </c>
      <c r="K7" s="3">
        <v>1E-10</v>
      </c>
      <c r="L7">
        <v>0</v>
      </c>
    </row>
    <row r="8" spans="1:12" x14ac:dyDescent="0.25">
      <c r="A8" t="s">
        <v>266</v>
      </c>
      <c r="B8">
        <f>_xlfn.XLOOKUP(A8,'Do podmianki'!A:A,'Do podmianki'!B:B,K8)</f>
        <v>1E-10</v>
      </c>
      <c r="C8">
        <v>0</v>
      </c>
      <c r="K8" s="3">
        <v>1E-10</v>
      </c>
      <c r="L8">
        <v>0</v>
      </c>
    </row>
    <row r="9" spans="1:12" x14ac:dyDescent="0.25">
      <c r="A9" t="s">
        <v>267</v>
      </c>
      <c r="B9">
        <f>_xlfn.XLOOKUP(A9,'Do podmianki'!A:A,'Do podmianki'!B:B,K9)</f>
        <v>1E-10</v>
      </c>
      <c r="C9">
        <v>0</v>
      </c>
      <c r="K9" s="3">
        <v>1E-10</v>
      </c>
      <c r="L9">
        <v>0</v>
      </c>
    </row>
    <row r="10" spans="1:12" x14ac:dyDescent="0.25">
      <c r="A10" t="s">
        <v>268</v>
      </c>
      <c r="B10">
        <f>_xlfn.XLOOKUP(A10,'Do podmianki'!A:A,'Do podmianki'!B:B,K10)</f>
        <v>1E-10</v>
      </c>
      <c r="C10">
        <v>0</v>
      </c>
      <c r="K10" s="3">
        <v>1E-10</v>
      </c>
      <c r="L10">
        <v>0</v>
      </c>
    </row>
    <row r="11" spans="1:12" x14ac:dyDescent="0.25">
      <c r="A11" t="s">
        <v>269</v>
      </c>
      <c r="B11">
        <f>_xlfn.XLOOKUP(A11,'Do podmianki'!A:A,'Do podmianki'!B:B,K11)</f>
        <v>1E-10</v>
      </c>
      <c r="C11">
        <v>0</v>
      </c>
      <c r="K11" s="3">
        <v>1E-10</v>
      </c>
      <c r="L11">
        <v>0</v>
      </c>
    </row>
    <row r="12" spans="1:12" x14ac:dyDescent="0.25">
      <c r="A12" t="s">
        <v>270</v>
      </c>
      <c r="B12">
        <f>_xlfn.XLOOKUP(A12,'Do podmianki'!A:A,'Do podmianki'!B:B,K12)</f>
        <v>1E-10</v>
      </c>
      <c r="C12">
        <v>0</v>
      </c>
      <c r="K12" s="3">
        <v>1E-10</v>
      </c>
      <c r="L12">
        <v>0</v>
      </c>
    </row>
    <row r="13" spans="1:12" x14ac:dyDescent="0.25">
      <c r="A13" t="s">
        <v>271</v>
      </c>
      <c r="B13">
        <f>_xlfn.XLOOKUP(A13,'Do podmianki'!A:A,'Do podmianki'!B:B,K13)</f>
        <v>1E-10</v>
      </c>
      <c r="C13">
        <v>0</v>
      </c>
      <c r="K13" s="3">
        <v>1E-10</v>
      </c>
      <c r="L13">
        <v>0</v>
      </c>
    </row>
    <row r="14" spans="1:12" x14ac:dyDescent="0.25">
      <c r="A14" t="s">
        <v>272</v>
      </c>
      <c r="B14">
        <f>_xlfn.XLOOKUP(A14,'Do podmianki'!A:A,'Do podmianki'!B:B,K14)</f>
        <v>1E-10</v>
      </c>
      <c r="C14">
        <v>0</v>
      </c>
      <c r="K14" s="3">
        <v>1E-10</v>
      </c>
      <c r="L14">
        <v>0</v>
      </c>
    </row>
    <row r="15" spans="1:12" x14ac:dyDescent="0.25">
      <c r="A15" t="s">
        <v>273</v>
      </c>
      <c r="B15">
        <f>_xlfn.XLOOKUP(A15,'Do podmianki'!A:A,'Do podmianki'!B:B,K15)</f>
        <v>1E-10</v>
      </c>
      <c r="C15">
        <v>0</v>
      </c>
      <c r="K15" s="3">
        <v>1E-10</v>
      </c>
      <c r="L15">
        <v>0</v>
      </c>
    </row>
    <row r="16" spans="1:12" x14ac:dyDescent="0.25">
      <c r="A16" t="s">
        <v>274</v>
      </c>
      <c r="B16">
        <f>_xlfn.XLOOKUP(A16,'Do podmianki'!A:A,'Do podmianki'!B:B,K16)</f>
        <v>1E-10</v>
      </c>
      <c r="C16">
        <v>0</v>
      </c>
      <c r="K16" s="3">
        <v>1E-10</v>
      </c>
      <c r="L16">
        <v>0</v>
      </c>
    </row>
    <row r="17" spans="1:12" x14ac:dyDescent="0.25">
      <c r="A17" t="s">
        <v>275</v>
      </c>
      <c r="B17">
        <f>_xlfn.XLOOKUP(A17,'Do podmianki'!A:A,'Do podmianki'!B:B,K17)</f>
        <v>1E-10</v>
      </c>
      <c r="C17">
        <v>0</v>
      </c>
      <c r="K17" s="3">
        <v>1E-10</v>
      </c>
      <c r="L17">
        <v>0</v>
      </c>
    </row>
    <row r="18" spans="1:12" x14ac:dyDescent="0.25">
      <c r="A18" t="s">
        <v>276</v>
      </c>
      <c r="B18">
        <f>_xlfn.XLOOKUP(A18,'Do podmianki'!A:A,'Do podmianki'!B:B,K18)</f>
        <v>1E-10</v>
      </c>
      <c r="C18">
        <v>0</v>
      </c>
      <c r="K18" s="3">
        <v>1E-10</v>
      </c>
      <c r="L18">
        <v>0</v>
      </c>
    </row>
    <row r="19" spans="1:12" x14ac:dyDescent="0.25">
      <c r="A19" t="s">
        <v>277</v>
      </c>
      <c r="B19">
        <f>_xlfn.XLOOKUP(A19,'Do podmianki'!A:A,'Do podmianki'!B:B,K19)</f>
        <v>1E-10</v>
      </c>
      <c r="C19">
        <v>0</v>
      </c>
      <c r="K19" s="3">
        <v>1E-10</v>
      </c>
      <c r="L19">
        <v>0</v>
      </c>
    </row>
    <row r="20" spans="1:12" x14ac:dyDescent="0.25">
      <c r="A20" t="s">
        <v>278</v>
      </c>
      <c r="B20">
        <f>_xlfn.XLOOKUP(A20,'Do podmianki'!A:A,'Do podmianki'!B:B,K20)</f>
        <v>1E-10</v>
      </c>
      <c r="C20">
        <v>0</v>
      </c>
      <c r="K20" s="3">
        <v>1E-10</v>
      </c>
      <c r="L20">
        <v>0</v>
      </c>
    </row>
    <row r="21" spans="1:12" x14ac:dyDescent="0.25">
      <c r="A21" t="s">
        <v>279</v>
      </c>
      <c r="B21">
        <f>_xlfn.XLOOKUP(A21,'Do podmianki'!A:A,'Do podmianki'!B:B,K21)</f>
        <v>1E-10</v>
      </c>
      <c r="C21">
        <v>0</v>
      </c>
      <c r="K21" s="3">
        <v>1E-10</v>
      </c>
      <c r="L21">
        <v>0</v>
      </c>
    </row>
    <row r="22" spans="1:12" x14ac:dyDescent="0.25">
      <c r="A22" t="s">
        <v>280</v>
      </c>
      <c r="B22">
        <f>_xlfn.XLOOKUP(A22,'Do podmianki'!A:A,'Do podmianki'!B:B,K22)</f>
        <v>1E-10</v>
      </c>
      <c r="C22">
        <v>0</v>
      </c>
      <c r="K22" s="3">
        <v>1E-10</v>
      </c>
      <c r="L22">
        <v>0</v>
      </c>
    </row>
    <row r="23" spans="1:12" x14ac:dyDescent="0.25">
      <c r="A23" t="s">
        <v>281</v>
      </c>
      <c r="B23">
        <f>_xlfn.XLOOKUP(A23,'Do podmianki'!A:A,'Do podmianki'!B:B,K23)</f>
        <v>1E-10</v>
      </c>
      <c r="C23">
        <v>0</v>
      </c>
      <c r="K23" s="3">
        <v>1E-10</v>
      </c>
      <c r="L23">
        <v>0</v>
      </c>
    </row>
    <row r="24" spans="1:12" x14ac:dyDescent="0.25">
      <c r="A24" t="s">
        <v>282</v>
      </c>
      <c r="B24">
        <f>_xlfn.XLOOKUP(A24,'Do podmianki'!A:A,'Do podmianki'!B:B,K24)</f>
        <v>1E-10</v>
      </c>
      <c r="C24">
        <v>0</v>
      </c>
      <c r="K24" s="3">
        <v>1E-10</v>
      </c>
      <c r="L24">
        <v>0</v>
      </c>
    </row>
    <row r="25" spans="1:12" x14ac:dyDescent="0.25">
      <c r="A25" t="s">
        <v>283</v>
      </c>
      <c r="B25">
        <f>_xlfn.XLOOKUP(A25,'Do podmianki'!A:A,'Do podmianki'!B:B,K25)</f>
        <v>1E-10</v>
      </c>
      <c r="C25">
        <v>0</v>
      </c>
      <c r="K25" s="3">
        <v>1E-10</v>
      </c>
      <c r="L25">
        <v>0</v>
      </c>
    </row>
    <row r="26" spans="1:12" x14ac:dyDescent="0.25">
      <c r="A26" t="s">
        <v>284</v>
      </c>
      <c r="B26">
        <f>_xlfn.XLOOKUP(A26,'Do podmianki'!A:A,'Do podmianki'!B:B,K26)</f>
        <v>1E-10</v>
      </c>
      <c r="C26">
        <v>0</v>
      </c>
      <c r="K26" s="3">
        <v>1E-10</v>
      </c>
      <c r="L26">
        <v>0</v>
      </c>
    </row>
    <row r="27" spans="1:12" x14ac:dyDescent="0.25">
      <c r="A27" t="s">
        <v>285</v>
      </c>
      <c r="B27">
        <f>_xlfn.XLOOKUP(A27,'Do podmianki'!A:A,'Do podmianki'!B:B,K27)</f>
        <v>1E-10</v>
      </c>
      <c r="C27">
        <v>0</v>
      </c>
      <c r="K27" s="3">
        <v>1E-10</v>
      </c>
      <c r="L27">
        <v>0</v>
      </c>
    </row>
    <row r="28" spans="1:12" x14ac:dyDescent="0.25">
      <c r="A28" t="s">
        <v>286</v>
      </c>
      <c r="B28">
        <f>_xlfn.XLOOKUP(A28,'Do podmianki'!A:A,'Do podmianki'!B:B,K28)</f>
        <v>1E-10</v>
      </c>
      <c r="C28">
        <v>0</v>
      </c>
      <c r="K28" s="3">
        <v>1E-10</v>
      </c>
      <c r="L28">
        <v>0</v>
      </c>
    </row>
    <row r="29" spans="1:12" x14ac:dyDescent="0.25">
      <c r="A29" t="s">
        <v>287</v>
      </c>
      <c r="B29">
        <f>_xlfn.XLOOKUP(A29,'Do podmianki'!A:A,'Do podmianki'!B:B,K29)</f>
        <v>1E-10</v>
      </c>
      <c r="C29">
        <v>0</v>
      </c>
      <c r="K29" s="3">
        <v>1E-10</v>
      </c>
      <c r="L29">
        <v>0</v>
      </c>
    </row>
    <row r="30" spans="1:12" x14ac:dyDescent="0.25">
      <c r="A30" t="s">
        <v>288</v>
      </c>
      <c r="B30">
        <f>_xlfn.XLOOKUP(A30,'Do podmianki'!A:A,'Do podmianki'!B:B,K30)</f>
        <v>1E-10</v>
      </c>
      <c r="C30">
        <v>0</v>
      </c>
      <c r="K30" s="3">
        <v>1E-10</v>
      </c>
      <c r="L30">
        <v>0</v>
      </c>
    </row>
    <row r="31" spans="1:12" x14ac:dyDescent="0.25">
      <c r="A31" t="s">
        <v>289</v>
      </c>
      <c r="B31">
        <f>_xlfn.XLOOKUP(A31,'Do podmianki'!A:A,'Do podmianki'!B:B,K31)</f>
        <v>1E-10</v>
      </c>
      <c r="C31">
        <v>0</v>
      </c>
      <c r="K31" s="3">
        <v>1E-10</v>
      </c>
      <c r="L31">
        <v>0</v>
      </c>
    </row>
    <row r="32" spans="1:12" x14ac:dyDescent="0.25">
      <c r="A32" t="s">
        <v>290</v>
      </c>
      <c r="B32">
        <f>_xlfn.XLOOKUP(A32,'Do podmianki'!A:A,'Do podmianki'!B:B,K32)</f>
        <v>1E-10</v>
      </c>
      <c r="C32">
        <v>0</v>
      </c>
      <c r="K32" s="3">
        <v>1E-10</v>
      </c>
      <c r="L32">
        <v>0</v>
      </c>
    </row>
    <row r="33" spans="1:12" x14ac:dyDescent="0.25">
      <c r="A33" t="s">
        <v>291</v>
      </c>
      <c r="B33">
        <f>_xlfn.XLOOKUP(A33,'Do podmianki'!A:A,'Do podmianki'!B:B,K33)</f>
        <v>1E-10</v>
      </c>
      <c r="C33">
        <v>0</v>
      </c>
      <c r="K33" s="3">
        <v>1E-10</v>
      </c>
      <c r="L33">
        <v>0</v>
      </c>
    </row>
    <row r="34" spans="1:12" x14ac:dyDescent="0.25">
      <c r="A34" t="s">
        <v>292</v>
      </c>
      <c r="B34">
        <f>_xlfn.XLOOKUP(A34,'Do podmianki'!A:A,'Do podmianki'!B:B,K34)</f>
        <v>1E-10</v>
      </c>
      <c r="C34">
        <v>0</v>
      </c>
      <c r="K34" s="3">
        <v>1E-10</v>
      </c>
      <c r="L34">
        <v>0</v>
      </c>
    </row>
    <row r="35" spans="1:12" x14ac:dyDescent="0.25">
      <c r="A35" t="s">
        <v>293</v>
      </c>
      <c r="B35">
        <f>_xlfn.XLOOKUP(A35,'Do podmianki'!A:A,'Do podmianki'!B:B,K35)</f>
        <v>1E-10</v>
      </c>
      <c r="C35">
        <v>0</v>
      </c>
      <c r="K35" s="3">
        <v>1E-10</v>
      </c>
      <c r="L35">
        <v>0</v>
      </c>
    </row>
    <row r="36" spans="1:12" x14ac:dyDescent="0.25">
      <c r="A36" t="s">
        <v>294</v>
      </c>
      <c r="B36">
        <f>_xlfn.XLOOKUP(A36,'Do podmianki'!A:A,'Do podmianki'!B:B,K36)</f>
        <v>1E-10</v>
      </c>
      <c r="C36">
        <v>0</v>
      </c>
      <c r="K36" s="3">
        <v>1E-10</v>
      </c>
      <c r="L36">
        <v>0</v>
      </c>
    </row>
    <row r="37" spans="1:12" x14ac:dyDescent="0.25">
      <c r="A37" t="s">
        <v>295</v>
      </c>
      <c r="B37">
        <f>_xlfn.XLOOKUP(A37,'Do podmianki'!A:A,'Do podmianki'!B:B,K37)</f>
        <v>1E-10</v>
      </c>
      <c r="C37">
        <v>0</v>
      </c>
      <c r="K37" s="3">
        <v>1E-10</v>
      </c>
      <c r="L37">
        <v>0</v>
      </c>
    </row>
    <row r="38" spans="1:12" x14ac:dyDescent="0.25">
      <c r="A38" t="s">
        <v>296</v>
      </c>
      <c r="B38">
        <f>_xlfn.XLOOKUP(A38,'Do podmianki'!A:A,'Do podmianki'!B:B,K38)</f>
        <v>1E-10</v>
      </c>
      <c r="C38">
        <v>0</v>
      </c>
      <c r="K38" s="3">
        <v>1E-10</v>
      </c>
      <c r="L38">
        <v>0</v>
      </c>
    </row>
    <row r="39" spans="1:12" x14ac:dyDescent="0.25">
      <c r="A39" t="s">
        <v>297</v>
      </c>
      <c r="B39">
        <f>_xlfn.XLOOKUP(A39,'Do podmianki'!A:A,'Do podmianki'!B:B,K39)</f>
        <v>1E-10</v>
      </c>
      <c r="C39">
        <v>0</v>
      </c>
      <c r="K39" s="3">
        <v>1E-10</v>
      </c>
      <c r="L39">
        <v>0</v>
      </c>
    </row>
    <row r="40" spans="1:12" x14ac:dyDescent="0.25">
      <c r="A40" t="s">
        <v>298</v>
      </c>
      <c r="B40">
        <f>_xlfn.XLOOKUP(A40,'Do podmianki'!A:A,'Do podmianki'!B:B,K40)</f>
        <v>1E-10</v>
      </c>
      <c r="C40">
        <v>0</v>
      </c>
      <c r="K40" s="3">
        <v>1E-10</v>
      </c>
      <c r="L40">
        <v>0</v>
      </c>
    </row>
    <row r="41" spans="1:12" x14ac:dyDescent="0.25">
      <c r="A41" t="s">
        <v>299</v>
      </c>
      <c r="B41">
        <f>_xlfn.XLOOKUP(A41,'Do podmianki'!A:A,'Do podmianki'!B:B,K41)</f>
        <v>1E-10</v>
      </c>
      <c r="C41">
        <v>0</v>
      </c>
      <c r="K41" s="3">
        <v>1E-10</v>
      </c>
      <c r="L41">
        <v>0</v>
      </c>
    </row>
    <row r="42" spans="1:12" x14ac:dyDescent="0.25">
      <c r="A42" t="s">
        <v>300</v>
      </c>
      <c r="B42">
        <f>_xlfn.XLOOKUP(A42,'Do podmianki'!A:A,'Do podmianki'!B:B,K42)</f>
        <v>1E-10</v>
      </c>
      <c r="C42">
        <v>0</v>
      </c>
      <c r="K42" s="3">
        <v>1E-10</v>
      </c>
      <c r="L42">
        <v>0</v>
      </c>
    </row>
    <row r="43" spans="1:12" x14ac:dyDescent="0.25">
      <c r="A43" t="s">
        <v>301</v>
      </c>
      <c r="B43">
        <f>_xlfn.XLOOKUP(A43,'Do podmianki'!A:A,'Do podmianki'!B:B,K43)</f>
        <v>1E-10</v>
      </c>
      <c r="C43">
        <v>0</v>
      </c>
      <c r="K43" s="3">
        <v>1E-10</v>
      </c>
      <c r="L43">
        <v>0</v>
      </c>
    </row>
    <row r="44" spans="1:12" x14ac:dyDescent="0.25">
      <c r="A44" t="s">
        <v>302</v>
      </c>
      <c r="B44">
        <f>_xlfn.XLOOKUP(A44,'Do podmianki'!A:A,'Do podmianki'!B:B,K44)</f>
        <v>1E-10</v>
      </c>
      <c r="C44">
        <v>0</v>
      </c>
      <c r="K44" s="3">
        <v>1E-10</v>
      </c>
      <c r="L44">
        <v>0</v>
      </c>
    </row>
    <row r="45" spans="1:12" x14ac:dyDescent="0.25">
      <c r="A45" t="s">
        <v>303</v>
      </c>
      <c r="B45">
        <f>_xlfn.XLOOKUP(A45,'Do podmianki'!A:A,'Do podmianki'!B:B,K45)</f>
        <v>1E-10</v>
      </c>
      <c r="C45">
        <v>0</v>
      </c>
      <c r="K45" s="3">
        <v>1E-10</v>
      </c>
      <c r="L45">
        <v>0</v>
      </c>
    </row>
    <row r="46" spans="1:12" x14ac:dyDescent="0.25">
      <c r="A46" t="s">
        <v>304</v>
      </c>
      <c r="B46">
        <f>_xlfn.XLOOKUP(A46,'Do podmianki'!A:A,'Do podmianki'!B:B,K46)</f>
        <v>1E-10</v>
      </c>
      <c r="C46">
        <v>0</v>
      </c>
      <c r="K46" s="3">
        <v>1E-10</v>
      </c>
      <c r="L46">
        <v>0</v>
      </c>
    </row>
    <row r="47" spans="1:12" x14ac:dyDescent="0.25">
      <c r="A47" t="s">
        <v>305</v>
      </c>
      <c r="B47">
        <f>_xlfn.XLOOKUP(A47,'Do podmianki'!A:A,'Do podmianki'!B:B,K47)</f>
        <v>1E-10</v>
      </c>
      <c r="C47">
        <v>0</v>
      </c>
      <c r="K47" s="3">
        <v>1E-10</v>
      </c>
      <c r="L47">
        <v>0</v>
      </c>
    </row>
    <row r="48" spans="1:12" x14ac:dyDescent="0.25">
      <c r="A48" t="s">
        <v>306</v>
      </c>
      <c r="B48">
        <f>_xlfn.XLOOKUP(A48,'Do podmianki'!A:A,'Do podmianki'!B:B,K48)</f>
        <v>1E-10</v>
      </c>
      <c r="C48">
        <v>0</v>
      </c>
      <c r="K48" s="3">
        <v>1E-10</v>
      </c>
      <c r="L48">
        <v>0</v>
      </c>
    </row>
    <row r="49" spans="1:12" x14ac:dyDescent="0.25">
      <c r="A49" t="s">
        <v>307</v>
      </c>
      <c r="B49">
        <f>_xlfn.XLOOKUP(A49,'Do podmianki'!A:A,'Do podmianki'!B:B,K49)</f>
        <v>1E-10</v>
      </c>
      <c r="C49">
        <v>0</v>
      </c>
      <c r="K49" s="3">
        <v>1E-10</v>
      </c>
      <c r="L49">
        <v>0</v>
      </c>
    </row>
    <row r="50" spans="1:12" x14ac:dyDescent="0.25">
      <c r="A50" t="s">
        <v>308</v>
      </c>
      <c r="B50">
        <f>_xlfn.XLOOKUP(A50,'Do podmianki'!A:A,'Do podmianki'!B:B,K50)</f>
        <v>1E-10</v>
      </c>
      <c r="C50">
        <v>0</v>
      </c>
      <c r="K50" s="3">
        <v>1E-10</v>
      </c>
      <c r="L50">
        <v>0</v>
      </c>
    </row>
    <row r="51" spans="1:12" x14ac:dyDescent="0.25">
      <c r="A51" t="s">
        <v>309</v>
      </c>
      <c r="B51">
        <f>_xlfn.XLOOKUP(A51,'Do podmianki'!A:A,'Do podmianki'!B:B,K51)</f>
        <v>1E-10</v>
      </c>
      <c r="C51">
        <v>0</v>
      </c>
      <c r="K51" s="3">
        <v>1E-10</v>
      </c>
      <c r="L51">
        <v>0</v>
      </c>
    </row>
    <row r="52" spans="1:12" x14ac:dyDescent="0.25">
      <c r="A52" t="s">
        <v>310</v>
      </c>
      <c r="B52">
        <f>_xlfn.XLOOKUP(A52,'Do podmianki'!A:A,'Do podmianki'!B:B,K52)</f>
        <v>1E-10</v>
      </c>
      <c r="C52">
        <v>0</v>
      </c>
      <c r="K52" s="3">
        <v>1E-10</v>
      </c>
      <c r="L52">
        <v>0</v>
      </c>
    </row>
    <row r="53" spans="1:12" x14ac:dyDescent="0.25">
      <c r="A53" t="s">
        <v>311</v>
      </c>
      <c r="B53">
        <f>_xlfn.XLOOKUP(A53,'Do podmianki'!A:A,'Do podmianki'!B:B,K53)</f>
        <v>1E-10</v>
      </c>
      <c r="C53">
        <v>0</v>
      </c>
      <c r="K53" s="3">
        <v>1E-10</v>
      </c>
      <c r="L53">
        <v>0</v>
      </c>
    </row>
    <row r="54" spans="1:12" x14ac:dyDescent="0.25">
      <c r="A54" t="s">
        <v>312</v>
      </c>
      <c r="B54">
        <f>_xlfn.XLOOKUP(A54,'Do podmianki'!A:A,'Do podmianki'!B:B,K54)</f>
        <v>1E-10</v>
      </c>
      <c r="C54">
        <v>0</v>
      </c>
      <c r="K54" s="3">
        <v>1E-10</v>
      </c>
      <c r="L54">
        <v>0</v>
      </c>
    </row>
    <row r="55" spans="1:12" x14ac:dyDescent="0.25">
      <c r="A55" t="s">
        <v>313</v>
      </c>
      <c r="B55">
        <f>_xlfn.XLOOKUP(A55,'Do podmianki'!A:A,'Do podmianki'!B:B,K55)</f>
        <v>1E-10</v>
      </c>
      <c r="C55">
        <v>0</v>
      </c>
      <c r="K55" s="3">
        <v>1E-10</v>
      </c>
      <c r="L55">
        <v>0</v>
      </c>
    </row>
    <row r="56" spans="1:12" x14ac:dyDescent="0.25">
      <c r="A56" t="s">
        <v>314</v>
      </c>
      <c r="B56">
        <f>_xlfn.XLOOKUP(A56,'Do podmianki'!A:A,'Do podmianki'!B:B,K56)</f>
        <v>1E-10</v>
      </c>
      <c r="C56">
        <v>0</v>
      </c>
      <c r="K56" s="3">
        <v>1E-10</v>
      </c>
      <c r="L56">
        <v>0</v>
      </c>
    </row>
    <row r="57" spans="1:12" x14ac:dyDescent="0.25">
      <c r="A57" t="s">
        <v>315</v>
      </c>
      <c r="B57">
        <f>_xlfn.XLOOKUP(A57,'Do podmianki'!A:A,'Do podmianki'!B:B,K57)</f>
        <v>1E-10</v>
      </c>
      <c r="C57">
        <v>0</v>
      </c>
      <c r="K57" s="3">
        <v>1E-10</v>
      </c>
      <c r="L57">
        <v>0</v>
      </c>
    </row>
    <row r="58" spans="1:12" x14ac:dyDescent="0.25">
      <c r="A58" t="s">
        <v>316</v>
      </c>
      <c r="B58">
        <f>_xlfn.XLOOKUP(A58,'Do podmianki'!A:A,'Do podmianki'!B:B,K58)</f>
        <v>1E-10</v>
      </c>
      <c r="C58">
        <v>0</v>
      </c>
      <c r="K58" s="3">
        <v>1E-10</v>
      </c>
      <c r="L58">
        <v>0</v>
      </c>
    </row>
    <row r="59" spans="1:12" x14ac:dyDescent="0.25">
      <c r="A59" t="s">
        <v>317</v>
      </c>
      <c r="B59">
        <f>_xlfn.XLOOKUP(A59,'Do podmianki'!A:A,'Do podmianki'!B:B,K59)</f>
        <v>1E-10</v>
      </c>
      <c r="C59">
        <v>0</v>
      </c>
      <c r="K59" s="3">
        <v>1E-10</v>
      </c>
      <c r="L59">
        <v>0</v>
      </c>
    </row>
    <row r="60" spans="1:12" x14ac:dyDescent="0.25">
      <c r="A60" t="s">
        <v>318</v>
      </c>
      <c r="B60">
        <f>_xlfn.XLOOKUP(A60,'Do podmianki'!A:A,'Do podmianki'!B:B,K60)</f>
        <v>1E-10</v>
      </c>
      <c r="C60">
        <v>0</v>
      </c>
      <c r="K60" s="3">
        <v>1E-10</v>
      </c>
      <c r="L60">
        <v>0</v>
      </c>
    </row>
    <row r="61" spans="1:12" x14ac:dyDescent="0.25">
      <c r="A61" t="s">
        <v>319</v>
      </c>
      <c r="B61">
        <f>_xlfn.XLOOKUP(A61,'Do podmianki'!A:A,'Do podmianki'!B:B,K61)</f>
        <v>1E-10</v>
      </c>
      <c r="C61">
        <v>0</v>
      </c>
      <c r="K61" s="3">
        <v>1E-10</v>
      </c>
      <c r="L61">
        <v>0</v>
      </c>
    </row>
    <row r="62" spans="1:12" x14ac:dyDescent="0.25">
      <c r="A62" t="s">
        <v>320</v>
      </c>
      <c r="B62">
        <f>_xlfn.XLOOKUP(A62,'Do podmianki'!A:A,'Do podmianki'!B:B,K62)</f>
        <v>1E-10</v>
      </c>
      <c r="C62">
        <v>0</v>
      </c>
      <c r="K62" s="3">
        <v>1E-10</v>
      </c>
      <c r="L62">
        <v>0</v>
      </c>
    </row>
    <row r="63" spans="1:12" x14ac:dyDescent="0.25">
      <c r="A63" t="s">
        <v>321</v>
      </c>
      <c r="B63">
        <f>_xlfn.XLOOKUP(A63,'Do podmianki'!A:A,'Do podmianki'!B:B,K63)</f>
        <v>1E-10</v>
      </c>
      <c r="C63">
        <v>0</v>
      </c>
      <c r="K63" s="3">
        <v>1E-10</v>
      </c>
      <c r="L63">
        <v>0</v>
      </c>
    </row>
    <row r="64" spans="1:12" x14ac:dyDescent="0.25">
      <c r="A64" t="s">
        <v>322</v>
      </c>
      <c r="B64">
        <f>_xlfn.XLOOKUP(A64,'Do podmianki'!A:A,'Do podmianki'!B:B,K64)</f>
        <v>1E-10</v>
      </c>
      <c r="C64">
        <v>0</v>
      </c>
      <c r="K64" s="3">
        <v>1E-10</v>
      </c>
      <c r="L64">
        <v>0</v>
      </c>
    </row>
    <row r="65" spans="1:12" x14ac:dyDescent="0.25">
      <c r="A65" t="s">
        <v>323</v>
      </c>
      <c r="B65">
        <f>_xlfn.XLOOKUP(A65,'Do podmianki'!A:A,'Do podmianki'!B:B,K65)</f>
        <v>1E-10</v>
      </c>
      <c r="C65">
        <v>0</v>
      </c>
      <c r="K65" s="3">
        <v>1E-10</v>
      </c>
      <c r="L65">
        <v>0</v>
      </c>
    </row>
    <row r="66" spans="1:12" x14ac:dyDescent="0.25">
      <c r="A66" t="s">
        <v>324</v>
      </c>
      <c r="B66">
        <f>_xlfn.XLOOKUP(A66,'Do podmianki'!A:A,'Do podmianki'!B:B,K66)</f>
        <v>1E-10</v>
      </c>
      <c r="C66">
        <v>0</v>
      </c>
      <c r="K66" s="3">
        <v>1E-10</v>
      </c>
      <c r="L66">
        <v>0</v>
      </c>
    </row>
    <row r="67" spans="1:12" x14ac:dyDescent="0.25">
      <c r="A67" t="s">
        <v>325</v>
      </c>
      <c r="B67">
        <f>_xlfn.XLOOKUP(A67,'Do podmianki'!A:A,'Do podmianki'!B:B,K67)</f>
        <v>1E-10</v>
      </c>
      <c r="C67">
        <v>0</v>
      </c>
      <c r="K67" s="3">
        <v>1E-10</v>
      </c>
      <c r="L67">
        <v>0</v>
      </c>
    </row>
    <row r="68" spans="1:12" x14ac:dyDescent="0.25">
      <c r="A68" t="s">
        <v>326</v>
      </c>
      <c r="B68">
        <f>_xlfn.XLOOKUP(A68,'Do podmianki'!A:A,'Do podmianki'!B:B,K68)</f>
        <v>1E-10</v>
      </c>
      <c r="C68">
        <v>0</v>
      </c>
      <c r="K68" s="3">
        <v>1E-10</v>
      </c>
      <c r="L68">
        <v>0</v>
      </c>
    </row>
    <row r="69" spans="1:12" x14ac:dyDescent="0.25">
      <c r="A69" t="s">
        <v>327</v>
      </c>
      <c r="B69">
        <f>_xlfn.XLOOKUP(A69,'Do podmianki'!A:A,'Do podmianki'!B:B,K69)</f>
        <v>1E-10</v>
      </c>
      <c r="C69">
        <v>0</v>
      </c>
      <c r="K69" s="3">
        <v>1E-10</v>
      </c>
      <c r="L69">
        <v>0</v>
      </c>
    </row>
    <row r="70" spans="1:12" x14ac:dyDescent="0.25">
      <c r="A70" t="s">
        <v>328</v>
      </c>
      <c r="B70">
        <f>_xlfn.XLOOKUP(A70,'Do podmianki'!A:A,'Do podmianki'!B:B,K70)</f>
        <v>1E-10</v>
      </c>
      <c r="C70">
        <v>0</v>
      </c>
      <c r="K70" s="3">
        <v>1E-10</v>
      </c>
      <c r="L70">
        <v>0</v>
      </c>
    </row>
    <row r="71" spans="1:12" x14ac:dyDescent="0.25">
      <c r="A71" t="s">
        <v>329</v>
      </c>
      <c r="B71">
        <f>_xlfn.XLOOKUP(A71,'Do podmianki'!A:A,'Do podmianki'!B:B,K71)</f>
        <v>1E-10</v>
      </c>
      <c r="C71">
        <v>0</v>
      </c>
      <c r="K71" s="3">
        <v>1E-10</v>
      </c>
      <c r="L71">
        <v>0</v>
      </c>
    </row>
    <row r="72" spans="1:12" x14ac:dyDescent="0.25">
      <c r="A72" t="s">
        <v>330</v>
      </c>
      <c r="B72">
        <f>_xlfn.XLOOKUP(A72,'Do podmianki'!A:A,'Do podmianki'!B:B,K72)</f>
        <v>1E-10</v>
      </c>
      <c r="C72">
        <v>0</v>
      </c>
      <c r="K72" s="3">
        <v>1E-10</v>
      </c>
      <c r="L72">
        <v>0</v>
      </c>
    </row>
    <row r="73" spans="1:12" x14ac:dyDescent="0.25">
      <c r="A73" t="s">
        <v>331</v>
      </c>
      <c r="B73">
        <f>_xlfn.XLOOKUP(A73,'Do podmianki'!A:A,'Do podmianki'!B:B,K73)</f>
        <v>1E-10</v>
      </c>
      <c r="C73">
        <v>0</v>
      </c>
      <c r="K73" s="3">
        <v>1E-10</v>
      </c>
      <c r="L73">
        <v>0</v>
      </c>
    </row>
    <row r="74" spans="1:12" x14ac:dyDescent="0.25">
      <c r="A74" t="s">
        <v>332</v>
      </c>
      <c r="B74">
        <f>_xlfn.XLOOKUP(A74,'Do podmianki'!A:A,'Do podmianki'!B:B,K74)</f>
        <v>1E-10</v>
      </c>
      <c r="C74">
        <v>0</v>
      </c>
      <c r="K74" s="3">
        <v>1E-10</v>
      </c>
      <c r="L74">
        <v>0</v>
      </c>
    </row>
    <row r="75" spans="1:12" x14ac:dyDescent="0.25">
      <c r="A75" t="s">
        <v>333</v>
      </c>
      <c r="B75">
        <f>_xlfn.XLOOKUP(A75,'Do podmianki'!A:A,'Do podmianki'!B:B,K75)</f>
        <v>1E-10</v>
      </c>
      <c r="C75">
        <v>0</v>
      </c>
      <c r="K75" s="3">
        <v>1E-10</v>
      </c>
      <c r="L75">
        <v>0</v>
      </c>
    </row>
    <row r="76" spans="1:12" x14ac:dyDescent="0.25">
      <c r="A76" t="s">
        <v>334</v>
      </c>
      <c r="B76">
        <f>_xlfn.XLOOKUP(A76,'Do podmianki'!A:A,'Do podmianki'!B:B,K76)</f>
        <v>1E-10</v>
      </c>
      <c r="C76">
        <v>0</v>
      </c>
      <c r="K76" s="3">
        <v>1E-10</v>
      </c>
      <c r="L76">
        <v>0</v>
      </c>
    </row>
    <row r="77" spans="1:12" x14ac:dyDescent="0.25">
      <c r="A77" t="s">
        <v>335</v>
      </c>
      <c r="B77">
        <f>_xlfn.XLOOKUP(A77,'Do podmianki'!A:A,'Do podmianki'!B:B,K77)</f>
        <v>1E-10</v>
      </c>
      <c r="C77">
        <v>0</v>
      </c>
      <c r="K77" s="3">
        <v>1E-10</v>
      </c>
      <c r="L77">
        <v>0</v>
      </c>
    </row>
    <row r="78" spans="1:12" x14ac:dyDescent="0.25">
      <c r="A78" t="s">
        <v>336</v>
      </c>
      <c r="B78">
        <f>_xlfn.XLOOKUP(A78,'Do podmianki'!A:A,'Do podmianki'!B:B,K78)</f>
        <v>1E-10</v>
      </c>
      <c r="C78">
        <v>0</v>
      </c>
      <c r="K78" s="3">
        <v>1E-10</v>
      </c>
      <c r="L78">
        <v>0</v>
      </c>
    </row>
    <row r="79" spans="1:12" x14ac:dyDescent="0.25">
      <c r="A79" t="s">
        <v>337</v>
      </c>
      <c r="B79">
        <f>_xlfn.XLOOKUP(A79,'Do podmianki'!A:A,'Do podmianki'!B:B,K79)</f>
        <v>1E-10</v>
      </c>
      <c r="C79">
        <v>0</v>
      </c>
      <c r="K79" s="3">
        <v>1E-10</v>
      </c>
      <c r="L79">
        <v>0</v>
      </c>
    </row>
    <row r="80" spans="1:12" x14ac:dyDescent="0.25">
      <c r="A80" t="s">
        <v>338</v>
      </c>
      <c r="B80">
        <f>_xlfn.XLOOKUP(A80,'Do podmianki'!A:A,'Do podmianki'!B:B,K80)</f>
        <v>1E-10</v>
      </c>
      <c r="C80">
        <v>0</v>
      </c>
      <c r="K80" s="3">
        <v>1E-10</v>
      </c>
      <c r="L80">
        <v>0</v>
      </c>
    </row>
    <row r="81" spans="1:12" x14ac:dyDescent="0.25">
      <c r="A81" t="s">
        <v>339</v>
      </c>
      <c r="B81">
        <f>_xlfn.XLOOKUP(A81,'Do podmianki'!A:A,'Do podmianki'!B:B,K81)</f>
        <v>1E-10</v>
      </c>
      <c r="C81">
        <v>0</v>
      </c>
      <c r="K81" s="3">
        <v>1E-10</v>
      </c>
      <c r="L81">
        <v>0</v>
      </c>
    </row>
    <row r="82" spans="1:12" x14ac:dyDescent="0.25">
      <c r="A82" t="s">
        <v>340</v>
      </c>
      <c r="B82">
        <f>_xlfn.XLOOKUP(A82,'Do podmianki'!A:A,'Do podmianki'!B:B,K82)</f>
        <v>1E-10</v>
      </c>
      <c r="C82">
        <v>0</v>
      </c>
      <c r="K82" s="3">
        <v>1E-10</v>
      </c>
      <c r="L82">
        <v>0</v>
      </c>
    </row>
    <row r="83" spans="1:12" x14ac:dyDescent="0.25">
      <c r="A83" t="s">
        <v>341</v>
      </c>
      <c r="B83">
        <f>_xlfn.XLOOKUP(A83,'Do podmianki'!A:A,'Do podmianki'!B:B,K83)</f>
        <v>1E-10</v>
      </c>
      <c r="C83">
        <v>0</v>
      </c>
      <c r="K83" s="3">
        <v>1E-10</v>
      </c>
      <c r="L83">
        <v>0</v>
      </c>
    </row>
    <row r="84" spans="1:12" x14ac:dyDescent="0.25">
      <c r="A84" t="s">
        <v>342</v>
      </c>
      <c r="B84">
        <f>_xlfn.XLOOKUP(A84,'Do podmianki'!A:A,'Do podmianki'!B:B,K84)</f>
        <v>1E-10</v>
      </c>
      <c r="C84">
        <v>0</v>
      </c>
      <c r="K84" s="3">
        <v>1E-10</v>
      </c>
      <c r="L84">
        <v>0</v>
      </c>
    </row>
    <row r="85" spans="1:12" x14ac:dyDescent="0.25">
      <c r="A85" t="s">
        <v>343</v>
      </c>
      <c r="B85">
        <f>_xlfn.XLOOKUP(A85,'Do podmianki'!A:A,'Do podmianki'!B:B,K85)</f>
        <v>1E-10</v>
      </c>
      <c r="C85">
        <v>0</v>
      </c>
      <c r="K85" s="3">
        <v>1E-10</v>
      </c>
      <c r="L85">
        <v>0</v>
      </c>
    </row>
    <row r="86" spans="1:12" x14ac:dyDescent="0.25">
      <c r="A86" t="s">
        <v>344</v>
      </c>
      <c r="B86">
        <f>_xlfn.XLOOKUP(A86,'Do podmianki'!A:A,'Do podmianki'!B:B,K86)</f>
        <v>1E-10</v>
      </c>
      <c r="C86">
        <v>0</v>
      </c>
      <c r="K86" s="3">
        <v>1E-10</v>
      </c>
      <c r="L86">
        <v>0</v>
      </c>
    </row>
    <row r="87" spans="1:12" x14ac:dyDescent="0.25">
      <c r="A87" t="s">
        <v>345</v>
      </c>
      <c r="B87">
        <f>_xlfn.XLOOKUP(A87,'Do podmianki'!A:A,'Do podmianki'!B:B,K87)</f>
        <v>1E-10</v>
      </c>
      <c r="C87">
        <v>0</v>
      </c>
      <c r="K87" s="3">
        <v>1E-10</v>
      </c>
      <c r="L87">
        <v>0</v>
      </c>
    </row>
    <row r="88" spans="1:12" x14ac:dyDescent="0.25">
      <c r="A88" t="s">
        <v>346</v>
      </c>
      <c r="B88">
        <f>_xlfn.XLOOKUP(A88,'Do podmianki'!A:A,'Do podmianki'!B:B,K88)</f>
        <v>1E-10</v>
      </c>
      <c r="C88">
        <v>0</v>
      </c>
      <c r="K88" s="3">
        <v>1E-10</v>
      </c>
      <c r="L88">
        <v>0</v>
      </c>
    </row>
    <row r="89" spans="1:12" x14ac:dyDescent="0.25">
      <c r="A89" t="s">
        <v>347</v>
      </c>
      <c r="B89">
        <f>_xlfn.XLOOKUP(A89,'Do podmianki'!A:A,'Do podmianki'!B:B,K89)</f>
        <v>1E-10</v>
      </c>
      <c r="C89">
        <v>0</v>
      </c>
      <c r="K89" s="3">
        <v>1E-10</v>
      </c>
      <c r="L89">
        <v>0</v>
      </c>
    </row>
    <row r="90" spans="1:12" x14ac:dyDescent="0.25">
      <c r="A90" t="s">
        <v>348</v>
      </c>
      <c r="B90">
        <f>_xlfn.XLOOKUP(A90,'Do podmianki'!A:A,'Do podmianki'!B:B,K90)</f>
        <v>1E-10</v>
      </c>
      <c r="C90">
        <v>0</v>
      </c>
      <c r="K90" s="3">
        <v>1E-10</v>
      </c>
      <c r="L90">
        <v>0</v>
      </c>
    </row>
    <row r="91" spans="1:12" x14ac:dyDescent="0.25">
      <c r="A91" t="s">
        <v>349</v>
      </c>
      <c r="B91">
        <f>_xlfn.XLOOKUP(A91,'Do podmianki'!A:A,'Do podmianki'!B:B,K91)</f>
        <v>1E-10</v>
      </c>
      <c r="C91">
        <v>0</v>
      </c>
      <c r="K91" s="3">
        <v>1E-10</v>
      </c>
      <c r="L91">
        <v>0</v>
      </c>
    </row>
    <row r="92" spans="1:12" x14ac:dyDescent="0.25">
      <c r="A92" t="s">
        <v>350</v>
      </c>
      <c r="B92">
        <f>_xlfn.XLOOKUP(A92,'Do podmianki'!A:A,'Do podmianki'!B:B,K92)</f>
        <v>1E-10</v>
      </c>
      <c r="C92">
        <v>0</v>
      </c>
      <c r="K92" s="3">
        <v>1E-10</v>
      </c>
      <c r="L92">
        <v>0</v>
      </c>
    </row>
    <row r="93" spans="1:12" x14ac:dyDescent="0.25">
      <c r="A93" t="s">
        <v>351</v>
      </c>
      <c r="B93">
        <f>_xlfn.XLOOKUP(A93,'Do podmianki'!A:A,'Do podmianki'!B:B,K93)</f>
        <v>1E-10</v>
      </c>
      <c r="C93">
        <v>0</v>
      </c>
      <c r="K93" s="3">
        <v>1E-10</v>
      </c>
      <c r="L93">
        <v>0</v>
      </c>
    </row>
    <row r="94" spans="1:12" x14ac:dyDescent="0.25">
      <c r="A94" t="s">
        <v>352</v>
      </c>
      <c r="B94">
        <f>_xlfn.XLOOKUP(A94,'Do podmianki'!A:A,'Do podmianki'!B:B,K94)</f>
        <v>1E-10</v>
      </c>
      <c r="C94">
        <v>0</v>
      </c>
      <c r="K94" s="3">
        <v>1E-10</v>
      </c>
      <c r="L94">
        <v>0</v>
      </c>
    </row>
    <row r="95" spans="1:12" x14ac:dyDescent="0.25">
      <c r="A95" t="s">
        <v>353</v>
      </c>
      <c r="B95">
        <f>_xlfn.XLOOKUP(A95,'Do podmianki'!A:A,'Do podmianki'!B:B,K95)</f>
        <v>1E-10</v>
      </c>
      <c r="C95">
        <v>0</v>
      </c>
      <c r="K95" s="3">
        <v>1E-10</v>
      </c>
      <c r="L95">
        <v>0</v>
      </c>
    </row>
    <row r="96" spans="1:12" x14ac:dyDescent="0.25">
      <c r="A96" t="s">
        <v>354</v>
      </c>
      <c r="B96">
        <f>_xlfn.XLOOKUP(A96,'Do podmianki'!A:A,'Do podmianki'!B:B,K96)</f>
        <v>1E-10</v>
      </c>
      <c r="C96">
        <v>0</v>
      </c>
      <c r="K96" s="3">
        <v>1E-10</v>
      </c>
      <c r="L96">
        <v>0</v>
      </c>
    </row>
    <row r="97" spans="1:12" x14ac:dyDescent="0.25">
      <c r="A97" t="s">
        <v>355</v>
      </c>
      <c r="B97">
        <f>_xlfn.XLOOKUP(A97,'Do podmianki'!A:A,'Do podmianki'!B:B,K97)</f>
        <v>1E-10</v>
      </c>
      <c r="C97">
        <v>0</v>
      </c>
      <c r="K97" s="3">
        <v>1E-10</v>
      </c>
      <c r="L97">
        <v>0</v>
      </c>
    </row>
    <row r="98" spans="1:12" x14ac:dyDescent="0.25">
      <c r="A98" t="s">
        <v>356</v>
      </c>
      <c r="B98">
        <f>_xlfn.XLOOKUP(A98,'Do podmianki'!A:A,'Do podmianki'!B:B,K98)</f>
        <v>1E-10</v>
      </c>
      <c r="C98">
        <v>0</v>
      </c>
      <c r="K98" s="3">
        <v>1E-10</v>
      </c>
      <c r="L98">
        <v>0</v>
      </c>
    </row>
    <row r="99" spans="1:12" x14ac:dyDescent="0.25">
      <c r="A99" t="s">
        <v>357</v>
      </c>
      <c r="B99">
        <f>_xlfn.XLOOKUP(A99,'Do podmianki'!A:A,'Do podmianki'!B:B,K99)</f>
        <v>1E-10</v>
      </c>
      <c r="C99">
        <v>0</v>
      </c>
      <c r="K99" s="3">
        <v>1E-10</v>
      </c>
      <c r="L99">
        <v>0</v>
      </c>
    </row>
    <row r="100" spans="1:12" x14ac:dyDescent="0.25">
      <c r="A100" t="s">
        <v>358</v>
      </c>
      <c r="B100">
        <f>_xlfn.XLOOKUP(A100,'Do podmianki'!A:A,'Do podmianki'!B:B,K100)</f>
        <v>1E-10</v>
      </c>
      <c r="C100">
        <v>0</v>
      </c>
      <c r="K100" s="3">
        <v>1E-10</v>
      </c>
      <c r="L100">
        <v>0</v>
      </c>
    </row>
    <row r="101" spans="1:12" x14ac:dyDescent="0.25">
      <c r="A101" t="s">
        <v>359</v>
      </c>
      <c r="B101">
        <f>_xlfn.XLOOKUP(A101,'Do podmianki'!A:A,'Do podmianki'!B:B,K101)</f>
        <v>1E-10</v>
      </c>
      <c r="C101">
        <v>0</v>
      </c>
      <c r="K101" s="3">
        <v>1E-10</v>
      </c>
      <c r="L101">
        <v>0</v>
      </c>
    </row>
    <row r="102" spans="1:12" x14ac:dyDescent="0.25">
      <c r="A102" t="s">
        <v>360</v>
      </c>
      <c r="B102">
        <f>_xlfn.XLOOKUP(A102,'Do podmianki'!A:A,'Do podmianki'!B:B,K102)</f>
        <v>1E-10</v>
      </c>
      <c r="C102">
        <v>0</v>
      </c>
      <c r="K102" s="3">
        <v>1E-10</v>
      </c>
      <c r="L102">
        <v>0</v>
      </c>
    </row>
    <row r="103" spans="1:12" x14ac:dyDescent="0.25">
      <c r="A103" t="s">
        <v>361</v>
      </c>
      <c r="B103">
        <f>_xlfn.XLOOKUP(A103,'Do podmianki'!A:A,'Do podmianki'!B:B,K103)</f>
        <v>1E-10</v>
      </c>
      <c r="C103">
        <v>0</v>
      </c>
      <c r="K103" s="3">
        <v>1E-10</v>
      </c>
      <c r="L103">
        <v>0</v>
      </c>
    </row>
    <row r="104" spans="1:12" x14ac:dyDescent="0.25">
      <c r="A104" t="s">
        <v>362</v>
      </c>
      <c r="B104">
        <f>_xlfn.XLOOKUP(A104,'Do podmianki'!A:A,'Do podmianki'!B:B,K104)</f>
        <v>1E-10</v>
      </c>
      <c r="C104">
        <v>0</v>
      </c>
      <c r="K104" s="3">
        <v>1E-10</v>
      </c>
      <c r="L104">
        <v>0</v>
      </c>
    </row>
    <row r="105" spans="1:12" x14ac:dyDescent="0.25">
      <c r="A105" t="s">
        <v>363</v>
      </c>
      <c r="B105">
        <f>_xlfn.XLOOKUP(A105,'Do podmianki'!A:A,'Do podmianki'!B:B,K105)</f>
        <v>1E-10</v>
      </c>
      <c r="C105">
        <v>0</v>
      </c>
      <c r="K105" s="3">
        <v>1E-10</v>
      </c>
      <c r="L105">
        <v>0</v>
      </c>
    </row>
    <row r="106" spans="1:12" x14ac:dyDescent="0.25">
      <c r="A106" t="s">
        <v>364</v>
      </c>
      <c r="B106">
        <f>_xlfn.XLOOKUP(A106,'Do podmianki'!A:A,'Do podmianki'!B:B,K106)</f>
        <v>1E-10</v>
      </c>
      <c r="C106">
        <v>0</v>
      </c>
      <c r="K106" s="3">
        <v>1E-10</v>
      </c>
      <c r="L106">
        <v>0</v>
      </c>
    </row>
    <row r="107" spans="1:12" x14ac:dyDescent="0.25">
      <c r="A107" t="s">
        <v>365</v>
      </c>
      <c r="B107">
        <f>_xlfn.XLOOKUP(A107,'Do podmianki'!A:A,'Do podmianki'!B:B,K107)</f>
        <v>1E-10</v>
      </c>
      <c r="C107">
        <v>0</v>
      </c>
      <c r="K107" s="3">
        <v>1E-10</v>
      </c>
      <c r="L107">
        <v>0</v>
      </c>
    </row>
    <row r="108" spans="1:12" x14ac:dyDescent="0.25">
      <c r="A108" t="s">
        <v>366</v>
      </c>
      <c r="B108">
        <f>_xlfn.XLOOKUP(A108,'Do podmianki'!A:A,'Do podmianki'!B:B,K108)</f>
        <v>1E-10</v>
      </c>
      <c r="C108">
        <v>0</v>
      </c>
      <c r="K108" s="3">
        <v>1E-10</v>
      </c>
      <c r="L10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2"/>
  <sheetViews>
    <sheetView topLeftCell="A115" workbookViewId="0">
      <selection activeCell="B129" sqref="B12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K1" t="s">
        <v>537</v>
      </c>
    </row>
    <row r="2" spans="1:12" x14ac:dyDescent="0.25">
      <c r="A2" t="s">
        <v>367</v>
      </c>
      <c r="B2">
        <f>_xlfn.XLOOKUP(A2,'Do podmianki'!A:A,'Do podmianki'!B:B,K2)</f>
        <v>0</v>
      </c>
      <c r="C2">
        <f>_xlfn.XLOOKUP(A2,'Do podmianki'!A:A,'Do podmianki'!C:C,L2)</f>
        <v>0</v>
      </c>
      <c r="K2">
        <v>0</v>
      </c>
      <c r="L2">
        <v>0</v>
      </c>
    </row>
    <row r="3" spans="1:12" x14ac:dyDescent="0.25">
      <c r="A3" t="s">
        <v>368</v>
      </c>
      <c r="B3">
        <f>_xlfn.XLOOKUP(A3,'Do podmianki'!A:A,'Do podmianki'!B:B,K3)</f>
        <v>0</v>
      </c>
      <c r="C3">
        <f>_xlfn.XLOOKUP(A3,'Do podmianki'!A:A,'Do podmianki'!C:C,L3)</f>
        <v>0</v>
      </c>
      <c r="K3">
        <v>0</v>
      </c>
      <c r="L3">
        <v>0</v>
      </c>
    </row>
    <row r="4" spans="1:12" x14ac:dyDescent="0.25">
      <c r="A4" t="s">
        <v>369</v>
      </c>
      <c r="B4">
        <f>_xlfn.XLOOKUP(A4,'Do podmianki'!A:A,'Do podmianki'!B:B,K4)</f>
        <v>0</v>
      </c>
      <c r="C4">
        <f>_xlfn.XLOOKUP(A4,'Do podmianki'!A:A,'Do podmianki'!C:C,L4)</f>
        <v>0</v>
      </c>
      <c r="K4">
        <v>0</v>
      </c>
      <c r="L4">
        <v>0</v>
      </c>
    </row>
    <row r="5" spans="1:12" x14ac:dyDescent="0.25">
      <c r="A5" t="s">
        <v>370</v>
      </c>
      <c r="B5">
        <f>_xlfn.XLOOKUP(A5,'Do podmianki'!A:A,'Do podmianki'!B:B,K5)</f>
        <v>0</v>
      </c>
      <c r="C5">
        <f>_xlfn.XLOOKUP(A5,'Do podmianki'!A:A,'Do podmianki'!C:C,L5)</f>
        <v>0</v>
      </c>
      <c r="K5">
        <v>0</v>
      </c>
      <c r="L5">
        <v>0</v>
      </c>
    </row>
    <row r="6" spans="1:12" x14ac:dyDescent="0.25">
      <c r="A6" t="s">
        <v>371</v>
      </c>
      <c r="B6">
        <f>_xlfn.XLOOKUP(A6,'Do podmianki'!A:A,'Do podmianki'!B:B,K6)</f>
        <v>0</v>
      </c>
      <c r="C6">
        <f>_xlfn.XLOOKUP(A6,'Do podmianki'!A:A,'Do podmianki'!C:C,L6)</f>
        <v>0</v>
      </c>
      <c r="K6">
        <v>0</v>
      </c>
      <c r="L6">
        <v>0</v>
      </c>
    </row>
    <row r="7" spans="1:12" x14ac:dyDescent="0.25">
      <c r="A7" t="s">
        <v>372</v>
      </c>
      <c r="B7">
        <f>_xlfn.XLOOKUP(A7,'Do podmianki'!A:A,'Do podmianki'!B:B,K7)</f>
        <v>0</v>
      </c>
      <c r="C7">
        <f>_xlfn.XLOOKUP(A7,'Do podmianki'!A:A,'Do podmianki'!C:C,L7)</f>
        <v>0</v>
      </c>
      <c r="K7">
        <v>0</v>
      </c>
      <c r="L7">
        <v>0</v>
      </c>
    </row>
    <row r="8" spans="1:12" x14ac:dyDescent="0.25">
      <c r="A8" t="s">
        <v>373</v>
      </c>
      <c r="B8">
        <f>_xlfn.XLOOKUP(A8,'Do podmianki'!A:A,'Do podmianki'!B:B,K8)</f>
        <v>0</v>
      </c>
      <c r="C8">
        <f>_xlfn.XLOOKUP(A8,'Do podmianki'!A:A,'Do podmianki'!C:C,L8)</f>
        <v>0</v>
      </c>
      <c r="K8">
        <v>0</v>
      </c>
      <c r="L8">
        <v>0</v>
      </c>
    </row>
    <row r="9" spans="1:12" x14ac:dyDescent="0.25">
      <c r="A9" t="s">
        <v>374</v>
      </c>
      <c r="B9">
        <f>_xlfn.XLOOKUP(A9,'Do podmianki'!A:A,'Do podmianki'!B:B,K9)</f>
        <v>0</v>
      </c>
      <c r="C9">
        <f>_xlfn.XLOOKUP(A9,'Do podmianki'!A:A,'Do podmianki'!C:C,L9)</f>
        <v>0</v>
      </c>
      <c r="K9">
        <v>0</v>
      </c>
      <c r="L9">
        <v>0</v>
      </c>
    </row>
    <row r="10" spans="1:12" x14ac:dyDescent="0.25">
      <c r="A10" t="s">
        <v>375</v>
      </c>
      <c r="B10">
        <f>_xlfn.XLOOKUP(A10,'Do podmianki'!A:A,'Do podmianki'!B:B,K10)</f>
        <v>0</v>
      </c>
      <c r="C10">
        <f>_xlfn.XLOOKUP(A10,'Do podmianki'!A:A,'Do podmianki'!C:C,L10)</f>
        <v>0</v>
      </c>
      <c r="K10">
        <v>0</v>
      </c>
      <c r="L10">
        <v>0</v>
      </c>
    </row>
    <row r="11" spans="1:12" x14ac:dyDescent="0.25">
      <c r="A11" t="s">
        <v>376</v>
      </c>
      <c r="B11">
        <f>_xlfn.XLOOKUP(A11,'Do podmianki'!A:A,'Do podmianki'!B:B,K11)</f>
        <v>0</v>
      </c>
      <c r="C11">
        <f>_xlfn.XLOOKUP(A11,'Do podmianki'!A:A,'Do podmianki'!C:C,L11)</f>
        <v>0</v>
      </c>
      <c r="K11">
        <v>0</v>
      </c>
      <c r="L11">
        <v>0</v>
      </c>
    </row>
    <row r="12" spans="1:12" x14ac:dyDescent="0.25">
      <c r="A12" t="s">
        <v>377</v>
      </c>
      <c r="B12">
        <f>_xlfn.XLOOKUP(A12,'Do podmianki'!A:A,'Do podmianki'!B:B,K12)</f>
        <v>0</v>
      </c>
      <c r="C12">
        <f>_xlfn.XLOOKUP(A12,'Do podmianki'!A:A,'Do podmianki'!C:C,L12)</f>
        <v>0</v>
      </c>
      <c r="K12">
        <v>0</v>
      </c>
      <c r="L12">
        <v>0</v>
      </c>
    </row>
    <row r="13" spans="1:12" x14ac:dyDescent="0.25">
      <c r="A13" t="s">
        <v>378</v>
      </c>
      <c r="B13">
        <f>_xlfn.XLOOKUP(A13,'Do podmianki'!A:A,'Do podmianki'!B:B,K13)</f>
        <v>0</v>
      </c>
      <c r="C13">
        <f>_xlfn.XLOOKUP(A13,'Do podmianki'!A:A,'Do podmianki'!C:C,L13)</f>
        <v>0</v>
      </c>
      <c r="K13">
        <v>0</v>
      </c>
      <c r="L13">
        <v>0</v>
      </c>
    </row>
    <row r="14" spans="1:12" x14ac:dyDescent="0.25">
      <c r="A14" t="s">
        <v>379</v>
      </c>
      <c r="B14">
        <f>_xlfn.XLOOKUP(A14,'Do podmianki'!A:A,'Do podmianki'!B:B,K14)</f>
        <v>0</v>
      </c>
      <c r="C14">
        <f>_xlfn.XLOOKUP(A14,'Do podmianki'!A:A,'Do podmianki'!C:C,L14)</f>
        <v>0</v>
      </c>
      <c r="K14">
        <v>0</v>
      </c>
      <c r="L14">
        <v>0</v>
      </c>
    </row>
    <row r="15" spans="1:12" x14ac:dyDescent="0.25">
      <c r="A15" t="s">
        <v>380</v>
      </c>
      <c r="B15">
        <f>_xlfn.XLOOKUP(A15,'Do podmianki'!A:A,'Do podmianki'!B:B,K15)</f>
        <v>0</v>
      </c>
      <c r="C15">
        <f>_xlfn.XLOOKUP(A15,'Do podmianki'!A:A,'Do podmianki'!C:C,L15)</f>
        <v>0</v>
      </c>
      <c r="K15">
        <v>0</v>
      </c>
      <c r="L15">
        <v>0</v>
      </c>
    </row>
    <row r="16" spans="1:12" x14ac:dyDescent="0.25">
      <c r="A16" t="s">
        <v>381</v>
      </c>
      <c r="B16">
        <f>_xlfn.XLOOKUP(A16,'Do podmianki'!A:A,'Do podmianki'!B:B,K16)</f>
        <v>0</v>
      </c>
      <c r="C16">
        <f>_xlfn.XLOOKUP(A16,'Do podmianki'!A:A,'Do podmianki'!C:C,L16)</f>
        <v>0</v>
      </c>
      <c r="K16">
        <v>0</v>
      </c>
      <c r="L16">
        <v>0</v>
      </c>
    </row>
    <row r="17" spans="1:12" x14ac:dyDescent="0.25">
      <c r="A17" t="s">
        <v>382</v>
      </c>
      <c r="B17">
        <f>_xlfn.XLOOKUP(A17,'Do podmianki'!A:A,'Do podmianki'!B:B,K17)</f>
        <v>0</v>
      </c>
      <c r="C17">
        <f>_xlfn.XLOOKUP(A17,'Do podmianki'!A:A,'Do podmianki'!C:C,L17)</f>
        <v>0</v>
      </c>
      <c r="K17">
        <v>0</v>
      </c>
      <c r="L17">
        <v>0</v>
      </c>
    </row>
    <row r="18" spans="1:12" x14ac:dyDescent="0.25">
      <c r="A18" t="s">
        <v>383</v>
      </c>
      <c r="B18">
        <f>_xlfn.XLOOKUP(A18,'Do podmianki'!A:A,'Do podmianki'!B:B,K18)</f>
        <v>0</v>
      </c>
      <c r="C18">
        <f>_xlfn.XLOOKUP(A18,'Do podmianki'!A:A,'Do podmianki'!C:C,L18)</f>
        <v>0</v>
      </c>
      <c r="K18">
        <v>0</v>
      </c>
      <c r="L18">
        <v>0</v>
      </c>
    </row>
    <row r="19" spans="1:12" x14ac:dyDescent="0.25">
      <c r="A19" t="s">
        <v>384</v>
      </c>
      <c r="B19">
        <f>_xlfn.XLOOKUP(A19,'Do podmianki'!A:A,'Do podmianki'!B:B,K19)</f>
        <v>0</v>
      </c>
      <c r="C19">
        <f>_xlfn.XLOOKUP(A19,'Do podmianki'!A:A,'Do podmianki'!C:C,L19)</f>
        <v>0</v>
      </c>
      <c r="K19">
        <v>0</v>
      </c>
      <c r="L19">
        <v>0</v>
      </c>
    </row>
    <row r="20" spans="1:12" x14ac:dyDescent="0.25">
      <c r="A20" t="s">
        <v>385</v>
      </c>
      <c r="B20">
        <f>_xlfn.XLOOKUP(A20,'Do podmianki'!A:A,'Do podmianki'!B:B,K20)</f>
        <v>0</v>
      </c>
      <c r="C20">
        <f>_xlfn.XLOOKUP(A20,'Do podmianki'!A:A,'Do podmianki'!C:C,L20)</f>
        <v>0</v>
      </c>
      <c r="K20">
        <v>0</v>
      </c>
      <c r="L20">
        <v>0</v>
      </c>
    </row>
    <row r="21" spans="1:12" x14ac:dyDescent="0.25">
      <c r="A21" t="s">
        <v>386</v>
      </c>
      <c r="B21">
        <f>_xlfn.XLOOKUP(A21,'Do podmianki'!A:A,'Do podmianki'!B:B,K21)</f>
        <v>0</v>
      </c>
      <c r="C21">
        <f>_xlfn.XLOOKUP(A21,'Do podmianki'!A:A,'Do podmianki'!C:C,L21)</f>
        <v>0</v>
      </c>
      <c r="K21">
        <v>0</v>
      </c>
      <c r="L21">
        <v>0</v>
      </c>
    </row>
    <row r="22" spans="1:12" x14ac:dyDescent="0.25">
      <c r="A22" t="s">
        <v>387</v>
      </c>
      <c r="B22">
        <f>_xlfn.XLOOKUP(A22,'Do podmianki'!A:A,'Do podmianki'!B:B,K22)</f>
        <v>0</v>
      </c>
      <c r="C22">
        <f>_xlfn.XLOOKUP(A22,'Do podmianki'!A:A,'Do podmianki'!C:C,L22)</f>
        <v>0</v>
      </c>
      <c r="K22">
        <v>0</v>
      </c>
      <c r="L22">
        <v>0</v>
      </c>
    </row>
    <row r="23" spans="1:12" x14ac:dyDescent="0.25">
      <c r="A23" t="s">
        <v>388</v>
      </c>
      <c r="B23">
        <f>_xlfn.XLOOKUP(A23,'Do podmianki'!A:A,'Do podmianki'!B:B,K23)</f>
        <v>0</v>
      </c>
      <c r="C23">
        <f>_xlfn.XLOOKUP(A23,'Do podmianki'!A:A,'Do podmianki'!C:C,L23)</f>
        <v>0</v>
      </c>
      <c r="K23">
        <v>0</v>
      </c>
      <c r="L23">
        <v>0</v>
      </c>
    </row>
    <row r="24" spans="1:12" x14ac:dyDescent="0.25">
      <c r="A24" t="s">
        <v>389</v>
      </c>
      <c r="B24">
        <f>_xlfn.XLOOKUP(A24,'Do podmianki'!A:A,'Do podmianki'!B:B,K24)</f>
        <v>0</v>
      </c>
      <c r="C24">
        <f>_xlfn.XLOOKUP(A24,'Do podmianki'!A:A,'Do podmianki'!C:C,L24)</f>
        <v>0</v>
      </c>
      <c r="K24">
        <v>0</v>
      </c>
      <c r="L24">
        <v>0</v>
      </c>
    </row>
    <row r="25" spans="1:12" x14ac:dyDescent="0.25">
      <c r="A25" t="s">
        <v>390</v>
      </c>
      <c r="B25">
        <f>_xlfn.XLOOKUP(A25,'Do podmianki'!A:A,'Do podmianki'!B:B,K25)</f>
        <v>0</v>
      </c>
      <c r="C25">
        <f>_xlfn.XLOOKUP(A25,'Do podmianki'!A:A,'Do podmianki'!C:C,L25)</f>
        <v>0</v>
      </c>
      <c r="K25">
        <v>0</v>
      </c>
      <c r="L25">
        <v>0</v>
      </c>
    </row>
    <row r="26" spans="1:12" x14ac:dyDescent="0.25">
      <c r="A26" t="s">
        <v>391</v>
      </c>
      <c r="B26">
        <f>_xlfn.XLOOKUP(A26,'Do podmianki'!A:A,'Do podmianki'!B:B,K26)</f>
        <v>0</v>
      </c>
      <c r="C26">
        <f>_xlfn.XLOOKUP(A26,'Do podmianki'!A:A,'Do podmianki'!C:C,L26)</f>
        <v>0</v>
      </c>
      <c r="K26">
        <v>0</v>
      </c>
      <c r="L26">
        <v>0</v>
      </c>
    </row>
    <row r="27" spans="1:12" x14ac:dyDescent="0.25">
      <c r="A27" t="s">
        <v>392</v>
      </c>
      <c r="B27">
        <f>_xlfn.XLOOKUP(A27,'Do podmianki'!A:A,'Do podmianki'!B:B,K27)</f>
        <v>0</v>
      </c>
      <c r="C27">
        <f>_xlfn.XLOOKUP(A27,'Do podmianki'!A:A,'Do podmianki'!C:C,L27)</f>
        <v>0</v>
      </c>
      <c r="K27">
        <v>0</v>
      </c>
      <c r="L27">
        <v>0</v>
      </c>
    </row>
    <row r="28" spans="1:12" x14ac:dyDescent="0.25">
      <c r="A28" t="s">
        <v>393</v>
      </c>
      <c r="B28">
        <f>_xlfn.XLOOKUP(A28,'Do podmianki'!A:A,'Do podmianki'!B:B,K28)</f>
        <v>0</v>
      </c>
      <c r="C28">
        <f>_xlfn.XLOOKUP(A28,'Do podmianki'!A:A,'Do podmianki'!C:C,L28)</f>
        <v>0</v>
      </c>
      <c r="K28">
        <v>0</v>
      </c>
      <c r="L28">
        <v>0</v>
      </c>
    </row>
    <row r="29" spans="1:12" x14ac:dyDescent="0.25">
      <c r="A29" t="s">
        <v>394</v>
      </c>
      <c r="B29">
        <f>_xlfn.XLOOKUP(A29,'Do podmianki'!A:A,'Do podmianki'!B:B,K29)</f>
        <v>0</v>
      </c>
      <c r="C29">
        <f>_xlfn.XLOOKUP(A29,'Do podmianki'!A:A,'Do podmianki'!C:C,L29)</f>
        <v>0</v>
      </c>
      <c r="K29">
        <v>0</v>
      </c>
      <c r="L29">
        <v>0</v>
      </c>
    </row>
    <row r="30" spans="1:12" x14ac:dyDescent="0.25">
      <c r="A30" t="s">
        <v>395</v>
      </c>
      <c r="B30">
        <f>_xlfn.XLOOKUP(A30,'Do podmianki'!A:A,'Do podmianki'!B:B,K30)</f>
        <v>0</v>
      </c>
      <c r="C30">
        <f>_xlfn.XLOOKUP(A30,'Do podmianki'!A:A,'Do podmianki'!C:C,L30)</f>
        <v>0</v>
      </c>
      <c r="K30">
        <v>0</v>
      </c>
      <c r="L30">
        <v>0</v>
      </c>
    </row>
    <row r="31" spans="1:12" x14ac:dyDescent="0.25">
      <c r="A31" t="s">
        <v>396</v>
      </c>
      <c r="B31">
        <f>_xlfn.XLOOKUP(A31,'Do podmianki'!A:A,'Do podmianki'!B:B,K31)</f>
        <v>0</v>
      </c>
      <c r="C31">
        <f>_xlfn.XLOOKUP(A31,'Do podmianki'!A:A,'Do podmianki'!C:C,L31)</f>
        <v>0</v>
      </c>
      <c r="K31">
        <v>0</v>
      </c>
      <c r="L31">
        <v>0</v>
      </c>
    </row>
    <row r="32" spans="1:12" x14ac:dyDescent="0.25">
      <c r="A32" t="s">
        <v>397</v>
      </c>
      <c r="B32">
        <f>_xlfn.XLOOKUP(A32,'Do podmianki'!A:A,'Do podmianki'!B:B,K32)</f>
        <v>0</v>
      </c>
      <c r="C32">
        <f>_xlfn.XLOOKUP(A32,'Do podmianki'!A:A,'Do podmianki'!C:C,L32)</f>
        <v>0</v>
      </c>
      <c r="K32">
        <v>0</v>
      </c>
      <c r="L32">
        <v>0</v>
      </c>
    </row>
    <row r="33" spans="1:12" x14ac:dyDescent="0.25">
      <c r="A33" t="s">
        <v>398</v>
      </c>
      <c r="B33">
        <f>_xlfn.XLOOKUP(A33,'Do podmianki'!A:A,'Do podmianki'!B:B,K33)</f>
        <v>0</v>
      </c>
      <c r="C33">
        <f>_xlfn.XLOOKUP(A33,'Do podmianki'!A:A,'Do podmianki'!C:C,L33)</f>
        <v>0</v>
      </c>
      <c r="K33">
        <v>0</v>
      </c>
      <c r="L33">
        <v>0</v>
      </c>
    </row>
    <row r="34" spans="1:12" x14ac:dyDescent="0.25">
      <c r="A34" t="s">
        <v>399</v>
      </c>
      <c r="B34">
        <f>_xlfn.XLOOKUP(A34,'Do podmianki'!A:A,'Do podmianki'!B:B,K34)</f>
        <v>0</v>
      </c>
      <c r="C34">
        <f>_xlfn.XLOOKUP(A34,'Do podmianki'!A:A,'Do podmianki'!C:C,L34)</f>
        <v>0</v>
      </c>
      <c r="K34">
        <v>0</v>
      </c>
      <c r="L34">
        <v>0</v>
      </c>
    </row>
    <row r="35" spans="1:12" x14ac:dyDescent="0.25">
      <c r="A35" t="s">
        <v>400</v>
      </c>
      <c r="B35">
        <f>_xlfn.XLOOKUP(A35,'Do podmianki'!A:A,'Do podmianki'!B:B,K35)</f>
        <v>0</v>
      </c>
      <c r="C35">
        <f>_xlfn.XLOOKUP(A35,'Do podmianki'!A:A,'Do podmianki'!C:C,L35)</f>
        <v>0</v>
      </c>
      <c r="K35">
        <v>0</v>
      </c>
      <c r="L35">
        <v>0</v>
      </c>
    </row>
    <row r="36" spans="1:12" x14ac:dyDescent="0.25">
      <c r="A36" t="s">
        <v>401</v>
      </c>
      <c r="B36">
        <f>_xlfn.XLOOKUP(A36,'Do podmianki'!A:A,'Do podmianki'!B:B,K36)</f>
        <v>0</v>
      </c>
      <c r="C36">
        <f>_xlfn.XLOOKUP(A36,'Do podmianki'!A:A,'Do podmianki'!C:C,L36)</f>
        <v>0</v>
      </c>
      <c r="K36">
        <v>0</v>
      </c>
      <c r="L36">
        <v>0</v>
      </c>
    </row>
    <row r="37" spans="1:12" x14ac:dyDescent="0.25">
      <c r="A37" t="s">
        <v>402</v>
      </c>
      <c r="B37">
        <f>_xlfn.XLOOKUP(A37,'Do podmianki'!A:A,'Do podmianki'!B:B,K37)</f>
        <v>0</v>
      </c>
      <c r="C37">
        <f>_xlfn.XLOOKUP(A37,'Do podmianki'!A:A,'Do podmianki'!C:C,L37)</f>
        <v>0</v>
      </c>
      <c r="K37">
        <v>0</v>
      </c>
      <c r="L37">
        <v>0</v>
      </c>
    </row>
    <row r="38" spans="1:12" x14ac:dyDescent="0.25">
      <c r="A38" t="s">
        <v>403</v>
      </c>
      <c r="B38">
        <f>_xlfn.XLOOKUP(A38,'Do podmianki'!A:A,'Do podmianki'!B:B,K38)</f>
        <v>0</v>
      </c>
      <c r="C38">
        <f>_xlfn.XLOOKUP(A38,'Do podmianki'!A:A,'Do podmianki'!C:C,L38)</f>
        <v>0</v>
      </c>
      <c r="K38">
        <v>0</v>
      </c>
      <c r="L38">
        <v>0</v>
      </c>
    </row>
    <row r="39" spans="1:12" x14ac:dyDescent="0.25">
      <c r="A39" t="s">
        <v>404</v>
      </c>
      <c r="B39">
        <f>_xlfn.XLOOKUP(A39,'Do podmianki'!A:A,'Do podmianki'!B:B,K39)</f>
        <v>0</v>
      </c>
      <c r="C39">
        <f>_xlfn.XLOOKUP(A39,'Do podmianki'!A:A,'Do podmianki'!C:C,L39)</f>
        <v>0</v>
      </c>
      <c r="K39">
        <v>0</v>
      </c>
      <c r="L39">
        <v>0</v>
      </c>
    </row>
    <row r="40" spans="1:12" x14ac:dyDescent="0.25">
      <c r="A40" t="s">
        <v>405</v>
      </c>
      <c r="B40">
        <f>_xlfn.XLOOKUP(A40,'Do podmianki'!A:A,'Do podmianki'!B:B,K40)</f>
        <v>0</v>
      </c>
      <c r="C40">
        <f>_xlfn.XLOOKUP(A40,'Do podmianki'!A:A,'Do podmianki'!C:C,L40)</f>
        <v>0</v>
      </c>
      <c r="K40">
        <v>0</v>
      </c>
      <c r="L40">
        <v>0</v>
      </c>
    </row>
    <row r="41" spans="1:12" x14ac:dyDescent="0.25">
      <c r="A41" t="s">
        <v>406</v>
      </c>
      <c r="B41">
        <f>_xlfn.XLOOKUP(A41,'Do podmianki'!A:A,'Do podmianki'!B:B,K41)</f>
        <v>0</v>
      </c>
      <c r="C41">
        <f>_xlfn.XLOOKUP(A41,'Do podmianki'!A:A,'Do podmianki'!C:C,L41)</f>
        <v>0</v>
      </c>
      <c r="K41">
        <v>0</v>
      </c>
      <c r="L41">
        <v>0</v>
      </c>
    </row>
    <row r="42" spans="1:12" x14ac:dyDescent="0.25">
      <c r="A42" t="s">
        <v>407</v>
      </c>
      <c r="B42">
        <f>_xlfn.XLOOKUP(A42,'Do podmianki'!A:A,'Do podmianki'!B:B,K42)</f>
        <v>0</v>
      </c>
      <c r="C42">
        <f>_xlfn.XLOOKUP(A42,'Do podmianki'!A:A,'Do podmianki'!C:C,L42)</f>
        <v>0</v>
      </c>
      <c r="K42">
        <v>0</v>
      </c>
      <c r="L42">
        <v>0</v>
      </c>
    </row>
    <row r="43" spans="1:12" x14ac:dyDescent="0.25">
      <c r="A43" t="s">
        <v>408</v>
      </c>
      <c r="B43">
        <f>_xlfn.XLOOKUP(A43,'Do podmianki'!A:A,'Do podmianki'!B:B,K43)</f>
        <v>0</v>
      </c>
      <c r="C43">
        <f>_xlfn.XLOOKUP(A43,'Do podmianki'!A:A,'Do podmianki'!C:C,L43)</f>
        <v>0</v>
      </c>
      <c r="K43">
        <v>0</v>
      </c>
      <c r="L43">
        <v>0</v>
      </c>
    </row>
    <row r="44" spans="1:12" x14ac:dyDescent="0.25">
      <c r="A44" t="s">
        <v>409</v>
      </c>
      <c r="B44">
        <f>_xlfn.XLOOKUP(A44,'Do podmianki'!A:A,'Do podmianki'!B:B,K44)</f>
        <v>0</v>
      </c>
      <c r="C44">
        <f>_xlfn.XLOOKUP(A44,'Do podmianki'!A:A,'Do podmianki'!C:C,L44)</f>
        <v>0</v>
      </c>
      <c r="K44">
        <v>0</v>
      </c>
      <c r="L44">
        <v>0</v>
      </c>
    </row>
    <row r="45" spans="1:12" x14ac:dyDescent="0.25">
      <c r="A45" t="s">
        <v>410</v>
      </c>
      <c r="B45">
        <f>_xlfn.XLOOKUP(A45,'Do podmianki'!A:A,'Do podmianki'!B:B,K45)</f>
        <v>0</v>
      </c>
      <c r="C45">
        <f>_xlfn.XLOOKUP(A45,'Do podmianki'!A:A,'Do podmianki'!C:C,L45)</f>
        <v>0</v>
      </c>
      <c r="K45">
        <v>0</v>
      </c>
      <c r="L45">
        <v>0</v>
      </c>
    </row>
    <row r="46" spans="1:12" x14ac:dyDescent="0.25">
      <c r="A46" t="s">
        <v>411</v>
      </c>
      <c r="B46">
        <f>_xlfn.XLOOKUP(A46,'Do podmianki'!A:A,'Do podmianki'!B:B,K46)</f>
        <v>0</v>
      </c>
      <c r="C46">
        <f>_xlfn.XLOOKUP(A46,'Do podmianki'!A:A,'Do podmianki'!C:C,L46)</f>
        <v>0</v>
      </c>
      <c r="K46">
        <v>0</v>
      </c>
      <c r="L46">
        <v>0</v>
      </c>
    </row>
    <row r="47" spans="1:12" x14ac:dyDescent="0.25">
      <c r="A47" t="s">
        <v>412</v>
      </c>
      <c r="B47">
        <f>_xlfn.XLOOKUP(A47,'Do podmianki'!A:A,'Do podmianki'!B:B,K47)</f>
        <v>0</v>
      </c>
      <c r="C47">
        <f>_xlfn.XLOOKUP(A47,'Do podmianki'!A:A,'Do podmianki'!C:C,L47)</f>
        <v>0</v>
      </c>
      <c r="K47">
        <v>0</v>
      </c>
      <c r="L47">
        <v>0</v>
      </c>
    </row>
    <row r="48" spans="1:12" x14ac:dyDescent="0.25">
      <c r="A48" t="s">
        <v>413</v>
      </c>
      <c r="B48">
        <f>_xlfn.XLOOKUP(A48,'Do podmianki'!A:A,'Do podmianki'!B:B,K48)</f>
        <v>0</v>
      </c>
      <c r="C48">
        <f>_xlfn.XLOOKUP(A48,'Do podmianki'!A:A,'Do podmianki'!C:C,L48)</f>
        <v>0</v>
      </c>
      <c r="K48">
        <v>0</v>
      </c>
      <c r="L48">
        <v>0</v>
      </c>
    </row>
    <row r="49" spans="1:12" x14ac:dyDescent="0.25">
      <c r="A49" t="s">
        <v>414</v>
      </c>
      <c r="B49">
        <f>_xlfn.XLOOKUP(A49,'Do podmianki'!A:A,'Do podmianki'!B:B,K49)</f>
        <v>0</v>
      </c>
      <c r="C49">
        <f>_xlfn.XLOOKUP(A49,'Do podmianki'!A:A,'Do podmianki'!C:C,L49)</f>
        <v>0</v>
      </c>
      <c r="K49">
        <v>0</v>
      </c>
      <c r="L49">
        <v>0</v>
      </c>
    </row>
    <row r="50" spans="1:12" x14ac:dyDescent="0.25">
      <c r="A50" t="s">
        <v>415</v>
      </c>
      <c r="B50">
        <f>_xlfn.XLOOKUP(A50,'Do podmianki'!A:A,'Do podmianki'!B:B,K50)</f>
        <v>0</v>
      </c>
      <c r="C50">
        <f>_xlfn.XLOOKUP(A50,'Do podmianki'!A:A,'Do podmianki'!C:C,L50)</f>
        <v>0</v>
      </c>
      <c r="K50">
        <v>0</v>
      </c>
      <c r="L50">
        <v>0</v>
      </c>
    </row>
    <row r="51" spans="1:12" x14ac:dyDescent="0.25">
      <c r="A51" t="s">
        <v>416</v>
      </c>
      <c r="B51">
        <f>_xlfn.XLOOKUP(A51,'Do podmianki'!A:A,'Do podmianki'!B:B,K51)</f>
        <v>0</v>
      </c>
      <c r="C51">
        <f>_xlfn.XLOOKUP(A51,'Do podmianki'!A:A,'Do podmianki'!C:C,L51)</f>
        <v>0</v>
      </c>
      <c r="K51">
        <v>0</v>
      </c>
      <c r="L51">
        <v>0</v>
      </c>
    </row>
    <row r="52" spans="1:12" x14ac:dyDescent="0.25">
      <c r="A52" t="s">
        <v>417</v>
      </c>
      <c r="B52">
        <f>_xlfn.XLOOKUP(A52,'Do podmianki'!A:A,'Do podmianki'!B:B,K52)</f>
        <v>0</v>
      </c>
      <c r="C52">
        <f>_xlfn.XLOOKUP(A52,'Do podmianki'!A:A,'Do podmianki'!C:C,L52)</f>
        <v>0</v>
      </c>
      <c r="K52">
        <v>0</v>
      </c>
      <c r="L52">
        <v>0</v>
      </c>
    </row>
    <row r="53" spans="1:12" x14ac:dyDescent="0.25">
      <c r="A53" t="s">
        <v>418</v>
      </c>
      <c r="B53">
        <f>_xlfn.XLOOKUP(A53,'Do podmianki'!A:A,'Do podmianki'!B:B,K53)</f>
        <v>0</v>
      </c>
      <c r="C53">
        <f>_xlfn.XLOOKUP(A53,'Do podmianki'!A:A,'Do podmianki'!C:C,L53)</f>
        <v>0</v>
      </c>
      <c r="K53">
        <v>0</v>
      </c>
      <c r="L53">
        <v>0</v>
      </c>
    </row>
    <row r="54" spans="1:12" x14ac:dyDescent="0.25">
      <c r="A54" t="s">
        <v>419</v>
      </c>
      <c r="B54">
        <f>_xlfn.XLOOKUP(A54,'Do podmianki'!A:A,'Do podmianki'!B:B,K54)</f>
        <v>0</v>
      </c>
      <c r="C54">
        <f>_xlfn.XLOOKUP(A54,'Do podmianki'!A:A,'Do podmianki'!C:C,L54)</f>
        <v>0</v>
      </c>
      <c r="K54">
        <v>0</v>
      </c>
      <c r="L54">
        <v>0</v>
      </c>
    </row>
    <row r="55" spans="1:12" x14ac:dyDescent="0.25">
      <c r="A55" t="s">
        <v>420</v>
      </c>
      <c r="B55">
        <f>_xlfn.XLOOKUP(A55,'Do podmianki'!A:A,'Do podmianki'!B:B,K55)</f>
        <v>0</v>
      </c>
      <c r="C55">
        <f>_xlfn.XLOOKUP(A55,'Do podmianki'!A:A,'Do podmianki'!C:C,L55)</f>
        <v>0</v>
      </c>
      <c r="K55">
        <v>0</v>
      </c>
      <c r="L55">
        <v>0</v>
      </c>
    </row>
    <row r="56" spans="1:12" x14ac:dyDescent="0.25">
      <c r="A56" t="s">
        <v>421</v>
      </c>
      <c r="B56">
        <f>_xlfn.XLOOKUP(A56,'Do podmianki'!A:A,'Do podmianki'!B:B,K56)</f>
        <v>0</v>
      </c>
      <c r="C56">
        <f>_xlfn.XLOOKUP(A56,'Do podmianki'!A:A,'Do podmianki'!C:C,L56)</f>
        <v>0</v>
      </c>
      <c r="K56">
        <v>0</v>
      </c>
      <c r="L56">
        <v>0</v>
      </c>
    </row>
    <row r="57" spans="1:12" x14ac:dyDescent="0.25">
      <c r="A57" t="s">
        <v>422</v>
      </c>
      <c r="B57">
        <f>_xlfn.XLOOKUP(A57,'Do podmianki'!A:A,'Do podmianki'!B:B,K57)</f>
        <v>0</v>
      </c>
      <c r="C57">
        <f>_xlfn.XLOOKUP(A57,'Do podmianki'!A:A,'Do podmianki'!C:C,L57)</f>
        <v>0</v>
      </c>
      <c r="K57">
        <v>0</v>
      </c>
      <c r="L57">
        <v>0</v>
      </c>
    </row>
    <row r="58" spans="1:12" x14ac:dyDescent="0.25">
      <c r="A58" t="s">
        <v>423</v>
      </c>
      <c r="B58">
        <f>_xlfn.XLOOKUP(A58,'Do podmianki'!A:A,'Do podmianki'!B:B,K58)</f>
        <v>0</v>
      </c>
      <c r="C58">
        <f>_xlfn.XLOOKUP(A58,'Do podmianki'!A:A,'Do podmianki'!C:C,L58)</f>
        <v>0</v>
      </c>
      <c r="K58">
        <v>0</v>
      </c>
      <c r="L58">
        <v>0</v>
      </c>
    </row>
    <row r="59" spans="1:12" x14ac:dyDescent="0.25">
      <c r="A59" t="s">
        <v>424</v>
      </c>
      <c r="B59">
        <f>_xlfn.XLOOKUP(A59,'Do podmianki'!A:A,'Do podmianki'!B:B,K59)</f>
        <v>0</v>
      </c>
      <c r="C59">
        <f>_xlfn.XLOOKUP(A59,'Do podmianki'!A:A,'Do podmianki'!C:C,L59)</f>
        <v>0</v>
      </c>
      <c r="K59">
        <v>0</v>
      </c>
      <c r="L59">
        <v>0</v>
      </c>
    </row>
    <row r="60" spans="1:12" x14ac:dyDescent="0.25">
      <c r="A60" t="s">
        <v>425</v>
      </c>
      <c r="B60">
        <f>_xlfn.XLOOKUP(A60,'Do podmianki'!A:A,'Do podmianki'!B:B,K60)</f>
        <v>0</v>
      </c>
      <c r="C60">
        <f>_xlfn.XLOOKUP(A60,'Do podmianki'!A:A,'Do podmianki'!C:C,L60)</f>
        <v>0</v>
      </c>
      <c r="K60">
        <v>0</v>
      </c>
      <c r="L60">
        <v>0</v>
      </c>
    </row>
    <row r="61" spans="1:12" x14ac:dyDescent="0.25">
      <c r="A61" t="s">
        <v>426</v>
      </c>
      <c r="B61">
        <f>_xlfn.XLOOKUP(A61,'Do podmianki'!A:A,'Do podmianki'!B:B,K61)</f>
        <v>0</v>
      </c>
      <c r="C61">
        <f>_xlfn.XLOOKUP(A61,'Do podmianki'!A:A,'Do podmianki'!C:C,L61)</f>
        <v>0</v>
      </c>
      <c r="K61">
        <v>0</v>
      </c>
      <c r="L61">
        <v>0</v>
      </c>
    </row>
    <row r="62" spans="1:12" x14ac:dyDescent="0.25">
      <c r="A62" t="s">
        <v>427</v>
      </c>
      <c r="B62">
        <f>_xlfn.XLOOKUP(A62,'Do podmianki'!A:A,'Do podmianki'!B:B,K62)</f>
        <v>0</v>
      </c>
      <c r="C62">
        <f>_xlfn.XLOOKUP(A62,'Do podmianki'!A:A,'Do podmianki'!C:C,L62)</f>
        <v>0</v>
      </c>
      <c r="K62">
        <v>0</v>
      </c>
      <c r="L62">
        <v>0</v>
      </c>
    </row>
    <row r="63" spans="1:12" x14ac:dyDescent="0.25">
      <c r="A63" t="s">
        <v>428</v>
      </c>
      <c r="B63">
        <f>_xlfn.XLOOKUP(A63,'Do podmianki'!A:A,'Do podmianki'!B:B,K63)</f>
        <v>0</v>
      </c>
      <c r="C63">
        <f>_xlfn.XLOOKUP(A63,'Do podmianki'!A:A,'Do podmianki'!C:C,L63)</f>
        <v>0</v>
      </c>
      <c r="K63">
        <v>0</v>
      </c>
      <c r="L63">
        <v>0</v>
      </c>
    </row>
    <row r="64" spans="1:12" x14ac:dyDescent="0.25">
      <c r="A64" t="s">
        <v>429</v>
      </c>
      <c r="B64">
        <f>_xlfn.XLOOKUP(A64,'Do podmianki'!A:A,'Do podmianki'!B:B,K64)</f>
        <v>0</v>
      </c>
      <c r="C64">
        <f>_xlfn.XLOOKUP(A64,'Do podmianki'!A:A,'Do podmianki'!C:C,L64)</f>
        <v>0</v>
      </c>
      <c r="K64">
        <v>0</v>
      </c>
      <c r="L64">
        <v>0</v>
      </c>
    </row>
    <row r="65" spans="1:12" x14ac:dyDescent="0.25">
      <c r="A65" t="s">
        <v>430</v>
      </c>
      <c r="B65">
        <f>_xlfn.XLOOKUP(A65,'Do podmianki'!A:A,'Do podmianki'!B:B,K65)</f>
        <v>0</v>
      </c>
      <c r="C65">
        <f>_xlfn.XLOOKUP(A65,'Do podmianki'!A:A,'Do podmianki'!C:C,L65)</f>
        <v>0</v>
      </c>
      <c r="K65">
        <v>0</v>
      </c>
      <c r="L65">
        <v>0</v>
      </c>
    </row>
    <row r="66" spans="1:12" x14ac:dyDescent="0.25">
      <c r="A66" t="s">
        <v>431</v>
      </c>
      <c r="B66">
        <f>_xlfn.XLOOKUP(A66,'Do podmianki'!A:A,'Do podmianki'!B:B,K66)</f>
        <v>0</v>
      </c>
      <c r="C66">
        <f>_xlfn.XLOOKUP(A66,'Do podmianki'!A:A,'Do podmianki'!C:C,L66)</f>
        <v>0</v>
      </c>
      <c r="K66">
        <v>0</v>
      </c>
      <c r="L66">
        <v>0</v>
      </c>
    </row>
    <row r="67" spans="1:12" x14ac:dyDescent="0.25">
      <c r="A67" t="s">
        <v>432</v>
      </c>
      <c r="B67">
        <f>_xlfn.XLOOKUP(A67,'Do podmianki'!A:A,'Do podmianki'!B:B,K67)</f>
        <v>0</v>
      </c>
      <c r="C67">
        <f>_xlfn.XLOOKUP(A67,'Do podmianki'!A:A,'Do podmianki'!C:C,L67)</f>
        <v>0</v>
      </c>
      <c r="K67">
        <v>0</v>
      </c>
      <c r="L67">
        <v>0</v>
      </c>
    </row>
    <row r="68" spans="1:12" x14ac:dyDescent="0.25">
      <c r="A68" t="s">
        <v>433</v>
      </c>
      <c r="B68">
        <f>_xlfn.XLOOKUP(A68,'Do podmianki'!A:A,'Do podmianki'!B:B,K68)</f>
        <v>0</v>
      </c>
      <c r="C68">
        <f>_xlfn.XLOOKUP(A68,'Do podmianki'!A:A,'Do podmianki'!C:C,L68)</f>
        <v>0</v>
      </c>
      <c r="K68">
        <v>0</v>
      </c>
      <c r="L68">
        <v>0</v>
      </c>
    </row>
    <row r="69" spans="1:12" x14ac:dyDescent="0.25">
      <c r="A69" t="s">
        <v>434</v>
      </c>
      <c r="B69">
        <f>_xlfn.XLOOKUP(A69,'Do podmianki'!A:A,'Do podmianki'!B:B,K69)</f>
        <v>0</v>
      </c>
      <c r="C69">
        <f>_xlfn.XLOOKUP(A69,'Do podmianki'!A:A,'Do podmianki'!C:C,L69)</f>
        <v>0</v>
      </c>
      <c r="K69">
        <v>0</v>
      </c>
      <c r="L69">
        <v>0</v>
      </c>
    </row>
    <row r="70" spans="1:12" x14ac:dyDescent="0.25">
      <c r="A70" t="s">
        <v>435</v>
      </c>
      <c r="B70">
        <f>_xlfn.XLOOKUP(A70,'Do podmianki'!A:A,'Do podmianki'!B:B,K70)</f>
        <v>0</v>
      </c>
      <c r="C70">
        <f>_xlfn.XLOOKUP(A70,'Do podmianki'!A:A,'Do podmianki'!C:C,L70)</f>
        <v>0</v>
      </c>
      <c r="K70">
        <v>0</v>
      </c>
      <c r="L70">
        <v>0</v>
      </c>
    </row>
    <row r="71" spans="1:12" x14ac:dyDescent="0.25">
      <c r="A71" t="s">
        <v>436</v>
      </c>
      <c r="B71">
        <f>_xlfn.XLOOKUP(A71,'Do podmianki'!A:A,'Do podmianki'!B:B,K71)</f>
        <v>0</v>
      </c>
      <c r="C71">
        <f>_xlfn.XLOOKUP(A71,'Do podmianki'!A:A,'Do podmianki'!C:C,L71)</f>
        <v>0</v>
      </c>
      <c r="K71">
        <v>0</v>
      </c>
      <c r="L71">
        <v>0</v>
      </c>
    </row>
    <row r="72" spans="1:12" x14ac:dyDescent="0.25">
      <c r="A72" t="s">
        <v>437</v>
      </c>
      <c r="B72">
        <f>_xlfn.XLOOKUP(A72,'Do podmianki'!A:A,'Do podmianki'!B:B,K72)</f>
        <v>0</v>
      </c>
      <c r="C72">
        <f>_xlfn.XLOOKUP(A72,'Do podmianki'!A:A,'Do podmianki'!C:C,L72)</f>
        <v>0</v>
      </c>
      <c r="K72">
        <v>0</v>
      </c>
      <c r="L72">
        <v>0</v>
      </c>
    </row>
    <row r="73" spans="1:12" x14ac:dyDescent="0.25">
      <c r="A73" t="s">
        <v>438</v>
      </c>
      <c r="B73">
        <f>_xlfn.XLOOKUP(A73,'Do podmianki'!A:A,'Do podmianki'!B:B,K73)</f>
        <v>0</v>
      </c>
      <c r="C73">
        <f>_xlfn.XLOOKUP(A73,'Do podmianki'!A:A,'Do podmianki'!C:C,L73)</f>
        <v>0</v>
      </c>
      <c r="K73">
        <v>0</v>
      </c>
      <c r="L73">
        <v>0</v>
      </c>
    </row>
    <row r="74" spans="1:12" x14ac:dyDescent="0.25">
      <c r="A74" t="s">
        <v>439</v>
      </c>
      <c r="B74">
        <f>_xlfn.XLOOKUP(A74,'Do podmianki'!A:A,'Do podmianki'!B:B,K74)</f>
        <v>0</v>
      </c>
      <c r="C74">
        <f>_xlfn.XLOOKUP(A74,'Do podmianki'!A:A,'Do podmianki'!C:C,L74)</f>
        <v>0</v>
      </c>
      <c r="K74">
        <v>0</v>
      </c>
      <c r="L74">
        <v>0</v>
      </c>
    </row>
    <row r="75" spans="1:12" x14ac:dyDescent="0.25">
      <c r="A75" t="s">
        <v>440</v>
      </c>
      <c r="B75">
        <f>_xlfn.XLOOKUP(A75,'Do podmianki'!A:A,'Do podmianki'!B:B,K75)</f>
        <v>0</v>
      </c>
      <c r="C75">
        <f>_xlfn.XLOOKUP(A75,'Do podmianki'!A:A,'Do podmianki'!C:C,L75)</f>
        <v>0</v>
      </c>
      <c r="K75">
        <v>0</v>
      </c>
      <c r="L75">
        <v>0</v>
      </c>
    </row>
    <row r="76" spans="1:12" x14ac:dyDescent="0.25">
      <c r="A76" t="s">
        <v>441</v>
      </c>
      <c r="B76">
        <f>_xlfn.XLOOKUP(A76,'Do podmianki'!A:A,'Do podmianki'!B:B,K76)</f>
        <v>0</v>
      </c>
      <c r="C76">
        <f>_xlfn.XLOOKUP(A76,'Do podmianki'!A:A,'Do podmianki'!C:C,L76)</f>
        <v>0</v>
      </c>
      <c r="K76">
        <v>0</v>
      </c>
      <c r="L76">
        <v>0</v>
      </c>
    </row>
    <row r="77" spans="1:12" x14ac:dyDescent="0.25">
      <c r="A77" t="s">
        <v>442</v>
      </c>
      <c r="B77">
        <f>_xlfn.XLOOKUP(A77,'Do podmianki'!A:A,'Do podmianki'!B:B,K77)</f>
        <v>0</v>
      </c>
      <c r="C77">
        <f>_xlfn.XLOOKUP(A77,'Do podmianki'!A:A,'Do podmianki'!C:C,L77)</f>
        <v>0</v>
      </c>
      <c r="K77">
        <v>0</v>
      </c>
      <c r="L77">
        <v>0</v>
      </c>
    </row>
    <row r="78" spans="1:12" x14ac:dyDescent="0.25">
      <c r="A78" t="s">
        <v>443</v>
      </c>
      <c r="B78">
        <f>_xlfn.XLOOKUP(A78,'Do podmianki'!A:A,'Do podmianki'!B:B,K78)</f>
        <v>0</v>
      </c>
      <c r="C78">
        <f>_xlfn.XLOOKUP(A78,'Do podmianki'!A:A,'Do podmianki'!C:C,L78)</f>
        <v>0</v>
      </c>
      <c r="K78">
        <v>0</v>
      </c>
      <c r="L78">
        <v>0</v>
      </c>
    </row>
    <row r="79" spans="1:12" x14ac:dyDescent="0.25">
      <c r="A79" t="s">
        <v>444</v>
      </c>
      <c r="B79">
        <f>_xlfn.XLOOKUP(A79,'Do podmianki'!A:A,'Do podmianki'!B:B,K79)</f>
        <v>0</v>
      </c>
      <c r="C79">
        <f>_xlfn.XLOOKUP(A79,'Do podmianki'!A:A,'Do podmianki'!C:C,L79)</f>
        <v>0</v>
      </c>
      <c r="K79">
        <v>0</v>
      </c>
      <c r="L79">
        <v>0</v>
      </c>
    </row>
    <row r="80" spans="1:12" x14ac:dyDescent="0.25">
      <c r="A80" t="s">
        <v>445</v>
      </c>
      <c r="B80">
        <f>_xlfn.XLOOKUP(A80,'Do podmianki'!A:A,'Do podmianki'!B:B,K80)</f>
        <v>0</v>
      </c>
      <c r="C80">
        <f>_xlfn.XLOOKUP(A80,'Do podmianki'!A:A,'Do podmianki'!C:C,L80)</f>
        <v>0</v>
      </c>
      <c r="K80">
        <v>0</v>
      </c>
      <c r="L80">
        <v>0</v>
      </c>
    </row>
    <row r="81" spans="1:12" x14ac:dyDescent="0.25">
      <c r="A81" t="s">
        <v>446</v>
      </c>
      <c r="B81">
        <f>_xlfn.XLOOKUP(A81,'Do podmianki'!A:A,'Do podmianki'!B:B,K81)</f>
        <v>0</v>
      </c>
      <c r="C81">
        <f>_xlfn.XLOOKUP(A81,'Do podmianki'!A:A,'Do podmianki'!C:C,L81)</f>
        <v>0</v>
      </c>
      <c r="K81">
        <v>0</v>
      </c>
      <c r="L81">
        <v>0</v>
      </c>
    </row>
    <row r="82" spans="1:12" x14ac:dyDescent="0.25">
      <c r="A82" t="s">
        <v>447</v>
      </c>
      <c r="B82">
        <f>_xlfn.XLOOKUP(A82,'Do podmianki'!A:A,'Do podmianki'!B:B,K82)</f>
        <v>0</v>
      </c>
      <c r="C82">
        <f>_xlfn.XLOOKUP(A82,'Do podmianki'!A:A,'Do podmianki'!C:C,L82)</f>
        <v>0</v>
      </c>
      <c r="K82">
        <v>0</v>
      </c>
      <c r="L82">
        <v>0</v>
      </c>
    </row>
    <row r="83" spans="1:12" x14ac:dyDescent="0.25">
      <c r="A83" t="s">
        <v>448</v>
      </c>
      <c r="B83">
        <f>_xlfn.XLOOKUP(A83,'Do podmianki'!A:A,'Do podmianki'!B:B,K83)</f>
        <v>0</v>
      </c>
      <c r="C83">
        <f>_xlfn.XLOOKUP(A83,'Do podmianki'!A:A,'Do podmianki'!C:C,L83)</f>
        <v>0</v>
      </c>
      <c r="K83">
        <v>0</v>
      </c>
      <c r="L83">
        <v>0</v>
      </c>
    </row>
    <row r="84" spans="1:12" x14ac:dyDescent="0.25">
      <c r="A84" t="s">
        <v>449</v>
      </c>
      <c r="B84">
        <f>_xlfn.XLOOKUP(A84,'Do podmianki'!A:A,'Do podmianki'!B:B,K84)</f>
        <v>0</v>
      </c>
      <c r="C84">
        <f>_xlfn.XLOOKUP(A84,'Do podmianki'!A:A,'Do podmianki'!C:C,L84)</f>
        <v>0</v>
      </c>
      <c r="K84">
        <v>0</v>
      </c>
      <c r="L84">
        <v>0</v>
      </c>
    </row>
    <row r="85" spans="1:12" x14ac:dyDescent="0.25">
      <c r="A85" t="s">
        <v>450</v>
      </c>
      <c r="B85">
        <f>_xlfn.XLOOKUP(A85,'Do podmianki'!A:A,'Do podmianki'!B:B,K85)</f>
        <v>0</v>
      </c>
      <c r="C85">
        <f>_xlfn.XLOOKUP(A85,'Do podmianki'!A:A,'Do podmianki'!C:C,L85)</f>
        <v>0</v>
      </c>
      <c r="K85">
        <v>0</v>
      </c>
      <c r="L85">
        <v>0</v>
      </c>
    </row>
    <row r="86" spans="1:12" x14ac:dyDescent="0.25">
      <c r="A86" t="s">
        <v>451</v>
      </c>
      <c r="B86">
        <f>_xlfn.XLOOKUP(A86,'Do podmianki'!A:A,'Do podmianki'!B:B,K86)</f>
        <v>0</v>
      </c>
      <c r="C86">
        <f>_xlfn.XLOOKUP(A86,'Do podmianki'!A:A,'Do podmianki'!C:C,L86)</f>
        <v>0</v>
      </c>
      <c r="K86">
        <v>0</v>
      </c>
      <c r="L86">
        <v>0</v>
      </c>
    </row>
    <row r="87" spans="1:12" x14ac:dyDescent="0.25">
      <c r="A87" t="s">
        <v>452</v>
      </c>
      <c r="B87">
        <f>_xlfn.XLOOKUP(A87,'Do podmianki'!A:A,'Do podmianki'!B:B,K87)</f>
        <v>0</v>
      </c>
      <c r="C87">
        <f>_xlfn.XLOOKUP(A87,'Do podmianki'!A:A,'Do podmianki'!C:C,L87)</f>
        <v>0</v>
      </c>
      <c r="K87">
        <v>0</v>
      </c>
      <c r="L87">
        <v>0</v>
      </c>
    </row>
    <row r="88" spans="1:12" x14ac:dyDescent="0.25">
      <c r="A88" t="s">
        <v>453</v>
      </c>
      <c r="B88">
        <f>_xlfn.XLOOKUP(A88,'Do podmianki'!A:A,'Do podmianki'!B:B,K88)</f>
        <v>0</v>
      </c>
      <c r="C88">
        <f>_xlfn.XLOOKUP(A88,'Do podmianki'!A:A,'Do podmianki'!C:C,L88)</f>
        <v>0</v>
      </c>
      <c r="K88">
        <v>0</v>
      </c>
      <c r="L88">
        <v>0</v>
      </c>
    </row>
    <row r="89" spans="1:12" x14ac:dyDescent="0.25">
      <c r="A89" t="s">
        <v>454</v>
      </c>
      <c r="B89">
        <f>_xlfn.XLOOKUP(A89,'Do podmianki'!A:A,'Do podmianki'!B:B,K89)</f>
        <v>0</v>
      </c>
      <c r="C89">
        <f>_xlfn.XLOOKUP(A89,'Do podmianki'!A:A,'Do podmianki'!C:C,L89)</f>
        <v>0</v>
      </c>
      <c r="K89">
        <v>0</v>
      </c>
      <c r="L89">
        <v>0</v>
      </c>
    </row>
    <row r="90" spans="1:12" x14ac:dyDescent="0.25">
      <c r="A90" t="s">
        <v>455</v>
      </c>
      <c r="B90">
        <f>_xlfn.XLOOKUP(A90,'Do podmianki'!A:A,'Do podmianki'!B:B,K90)</f>
        <v>0</v>
      </c>
      <c r="C90">
        <f>_xlfn.XLOOKUP(A90,'Do podmianki'!A:A,'Do podmianki'!C:C,L90)</f>
        <v>0</v>
      </c>
      <c r="K90">
        <v>0</v>
      </c>
      <c r="L90">
        <v>0</v>
      </c>
    </row>
    <row r="91" spans="1:12" x14ac:dyDescent="0.25">
      <c r="A91" t="s">
        <v>456</v>
      </c>
      <c r="B91">
        <f>_xlfn.XLOOKUP(A91,'Do podmianki'!A:A,'Do podmianki'!B:B,K91)</f>
        <v>0</v>
      </c>
      <c r="C91">
        <f>_xlfn.XLOOKUP(A91,'Do podmianki'!A:A,'Do podmianki'!C:C,L91)</f>
        <v>0</v>
      </c>
      <c r="K91">
        <v>0</v>
      </c>
      <c r="L91">
        <v>0</v>
      </c>
    </row>
    <row r="92" spans="1:12" x14ac:dyDescent="0.25">
      <c r="A92" t="s">
        <v>457</v>
      </c>
      <c r="B92">
        <f>_xlfn.XLOOKUP(A92,'Do podmianki'!A:A,'Do podmianki'!B:B,K92)</f>
        <v>0</v>
      </c>
      <c r="C92">
        <f>_xlfn.XLOOKUP(A92,'Do podmianki'!A:A,'Do podmianki'!C:C,L92)</f>
        <v>0</v>
      </c>
      <c r="K92">
        <v>0</v>
      </c>
      <c r="L92">
        <v>0</v>
      </c>
    </row>
    <row r="93" spans="1:12" x14ac:dyDescent="0.25">
      <c r="A93" t="s">
        <v>458</v>
      </c>
      <c r="B93">
        <f>_xlfn.XLOOKUP(A93,'Do podmianki'!A:A,'Do podmianki'!B:B,K93)</f>
        <v>0</v>
      </c>
      <c r="C93">
        <f>_xlfn.XLOOKUP(A93,'Do podmianki'!A:A,'Do podmianki'!C:C,L93)</f>
        <v>0</v>
      </c>
      <c r="K93">
        <v>0</v>
      </c>
      <c r="L93">
        <v>0</v>
      </c>
    </row>
    <row r="94" spans="1:12" x14ac:dyDescent="0.25">
      <c r="A94" t="s">
        <v>459</v>
      </c>
      <c r="B94">
        <f>_xlfn.XLOOKUP(A94,'Do podmianki'!A:A,'Do podmianki'!B:B,K94)</f>
        <v>0</v>
      </c>
      <c r="C94">
        <f>_xlfn.XLOOKUP(A94,'Do podmianki'!A:A,'Do podmianki'!C:C,L94)</f>
        <v>0</v>
      </c>
      <c r="K94">
        <v>0</v>
      </c>
      <c r="L94">
        <v>0</v>
      </c>
    </row>
    <row r="95" spans="1:12" x14ac:dyDescent="0.25">
      <c r="A95" t="s">
        <v>460</v>
      </c>
      <c r="B95">
        <f>_xlfn.XLOOKUP(A95,'Do podmianki'!A:A,'Do podmianki'!B:B,K95)</f>
        <v>0</v>
      </c>
      <c r="C95">
        <f>_xlfn.XLOOKUP(A95,'Do podmianki'!A:A,'Do podmianki'!C:C,L95)</f>
        <v>0</v>
      </c>
      <c r="K95">
        <v>0</v>
      </c>
      <c r="L95">
        <v>0</v>
      </c>
    </row>
    <row r="96" spans="1:12" x14ac:dyDescent="0.25">
      <c r="A96" t="s">
        <v>461</v>
      </c>
      <c r="B96">
        <f>_xlfn.XLOOKUP(A96,'Do podmianki'!A:A,'Do podmianki'!B:B,K96)</f>
        <v>0</v>
      </c>
      <c r="C96">
        <f>_xlfn.XLOOKUP(A96,'Do podmianki'!A:A,'Do podmianki'!C:C,L96)</f>
        <v>0</v>
      </c>
      <c r="K96">
        <v>0</v>
      </c>
      <c r="L96">
        <v>0</v>
      </c>
    </row>
    <row r="97" spans="1:12" x14ac:dyDescent="0.25">
      <c r="A97" t="s">
        <v>462</v>
      </c>
      <c r="B97">
        <f>_xlfn.XLOOKUP(A97,'Do podmianki'!A:A,'Do podmianki'!B:B,K97)</f>
        <v>0</v>
      </c>
      <c r="C97">
        <f>_xlfn.XLOOKUP(A97,'Do podmianki'!A:A,'Do podmianki'!C:C,L97)</f>
        <v>0</v>
      </c>
      <c r="K97">
        <v>0</v>
      </c>
      <c r="L97">
        <v>0</v>
      </c>
    </row>
    <row r="98" spans="1:12" x14ac:dyDescent="0.25">
      <c r="A98" t="s">
        <v>463</v>
      </c>
      <c r="B98">
        <f>_xlfn.XLOOKUP(A98,'Do podmianki'!A:A,'Do podmianki'!B:B,K98)</f>
        <v>0</v>
      </c>
      <c r="C98">
        <f>_xlfn.XLOOKUP(A98,'Do podmianki'!A:A,'Do podmianki'!C:C,L98)</f>
        <v>0</v>
      </c>
      <c r="K98">
        <v>0</v>
      </c>
      <c r="L98">
        <v>0</v>
      </c>
    </row>
    <row r="99" spans="1:12" x14ac:dyDescent="0.25">
      <c r="A99" t="s">
        <v>464</v>
      </c>
      <c r="B99">
        <f>_xlfn.XLOOKUP(A99,'Do podmianki'!A:A,'Do podmianki'!B:B,K99)</f>
        <v>0</v>
      </c>
      <c r="C99">
        <f>_xlfn.XLOOKUP(A99,'Do podmianki'!A:A,'Do podmianki'!C:C,L99)</f>
        <v>0</v>
      </c>
      <c r="K99">
        <v>0</v>
      </c>
      <c r="L99">
        <v>0</v>
      </c>
    </row>
    <row r="100" spans="1:12" x14ac:dyDescent="0.25">
      <c r="A100" t="s">
        <v>465</v>
      </c>
      <c r="B100">
        <f>_xlfn.XLOOKUP(A100,'Do podmianki'!A:A,'Do podmianki'!B:B,K100)</f>
        <v>0</v>
      </c>
      <c r="C100">
        <f>_xlfn.XLOOKUP(A100,'Do podmianki'!A:A,'Do podmianki'!C:C,L100)</f>
        <v>0</v>
      </c>
      <c r="K100">
        <v>0</v>
      </c>
      <c r="L100">
        <v>0</v>
      </c>
    </row>
    <row r="101" spans="1:12" x14ac:dyDescent="0.25">
      <c r="A101" t="s">
        <v>466</v>
      </c>
      <c r="B101">
        <f>_xlfn.XLOOKUP(A101,'Do podmianki'!A:A,'Do podmianki'!B:B,K101)</f>
        <v>0</v>
      </c>
      <c r="C101">
        <f>_xlfn.XLOOKUP(A101,'Do podmianki'!A:A,'Do podmianki'!C:C,L101)</f>
        <v>0</v>
      </c>
      <c r="K101">
        <v>0</v>
      </c>
      <c r="L101">
        <v>0</v>
      </c>
    </row>
    <row r="102" spans="1:12" x14ac:dyDescent="0.25">
      <c r="A102" t="s">
        <v>467</v>
      </c>
      <c r="B102">
        <f>_xlfn.XLOOKUP(A102,'Do podmianki'!A:A,'Do podmianki'!B:B,K102)</f>
        <v>0</v>
      </c>
      <c r="C102">
        <f>_xlfn.XLOOKUP(A102,'Do podmianki'!A:A,'Do podmianki'!C:C,L102)</f>
        <v>0</v>
      </c>
      <c r="K102">
        <v>0</v>
      </c>
      <c r="L102">
        <v>0</v>
      </c>
    </row>
    <row r="103" spans="1:12" x14ac:dyDescent="0.25">
      <c r="A103" t="s">
        <v>468</v>
      </c>
      <c r="B103">
        <f>_xlfn.XLOOKUP(A103,'Do podmianki'!A:A,'Do podmianki'!B:B,K103)</f>
        <v>0</v>
      </c>
      <c r="C103">
        <f>_xlfn.XLOOKUP(A103,'Do podmianki'!A:A,'Do podmianki'!C:C,L103)</f>
        <v>0</v>
      </c>
      <c r="K103">
        <v>0</v>
      </c>
      <c r="L103">
        <v>0</v>
      </c>
    </row>
    <row r="104" spans="1:12" x14ac:dyDescent="0.25">
      <c r="A104" t="s">
        <v>469</v>
      </c>
      <c r="B104">
        <f>_xlfn.XLOOKUP(A104,'Do podmianki'!A:A,'Do podmianki'!B:B,K104)</f>
        <v>0</v>
      </c>
      <c r="C104">
        <f>_xlfn.XLOOKUP(A104,'Do podmianki'!A:A,'Do podmianki'!C:C,L104)</f>
        <v>0</v>
      </c>
      <c r="K104">
        <v>0</v>
      </c>
      <c r="L104">
        <v>0</v>
      </c>
    </row>
    <row r="105" spans="1:12" x14ac:dyDescent="0.25">
      <c r="A105" t="s">
        <v>470</v>
      </c>
      <c r="B105">
        <f>_xlfn.XLOOKUP(A105,'Do podmianki'!A:A,'Do podmianki'!B:B,K105)</f>
        <v>0</v>
      </c>
      <c r="C105">
        <f>_xlfn.XLOOKUP(A105,'Do podmianki'!A:A,'Do podmianki'!C:C,L105)</f>
        <v>0</v>
      </c>
      <c r="K105">
        <v>0</v>
      </c>
      <c r="L105">
        <v>0</v>
      </c>
    </row>
    <row r="106" spans="1:12" x14ac:dyDescent="0.25">
      <c r="A106" t="s">
        <v>471</v>
      </c>
      <c r="B106">
        <f>_xlfn.XLOOKUP(A106,'Do podmianki'!A:A,'Do podmianki'!B:B,K106)</f>
        <v>0</v>
      </c>
      <c r="C106">
        <f>_xlfn.XLOOKUP(A106,'Do podmianki'!A:A,'Do podmianki'!C:C,L106)</f>
        <v>0</v>
      </c>
      <c r="K106">
        <v>0</v>
      </c>
      <c r="L106">
        <v>0</v>
      </c>
    </row>
    <row r="107" spans="1:12" x14ac:dyDescent="0.25">
      <c r="A107" t="s">
        <v>472</v>
      </c>
      <c r="B107">
        <f>_xlfn.XLOOKUP(A107,'Do podmianki'!A:A,'Do podmianki'!B:B,K107)</f>
        <v>0</v>
      </c>
      <c r="C107">
        <f>_xlfn.XLOOKUP(A107,'Do podmianki'!A:A,'Do podmianki'!C:C,L107)</f>
        <v>0</v>
      </c>
      <c r="K107">
        <v>0</v>
      </c>
      <c r="L107">
        <v>0</v>
      </c>
    </row>
    <row r="108" spans="1:12" x14ac:dyDescent="0.25">
      <c r="A108" t="s">
        <v>473</v>
      </c>
      <c r="B108">
        <f>_xlfn.XLOOKUP(A108,'Do podmianki'!A:A,'Do podmianki'!B:B,K108)</f>
        <v>0</v>
      </c>
      <c r="C108">
        <f>_xlfn.XLOOKUP(A108,'Do podmianki'!A:A,'Do podmianki'!C:C,L108)</f>
        <v>0</v>
      </c>
      <c r="K108">
        <v>0</v>
      </c>
      <c r="L108">
        <v>0</v>
      </c>
    </row>
    <row r="109" spans="1:12" x14ac:dyDescent="0.25">
      <c r="A109" t="s">
        <v>474</v>
      </c>
      <c r="B109">
        <f>_xlfn.XLOOKUP(A109,'Do podmianki'!A:A,'Do podmianki'!B:B,K109)</f>
        <v>0</v>
      </c>
      <c r="C109">
        <f>_xlfn.XLOOKUP(A109,'Do podmianki'!A:A,'Do podmianki'!C:C,L109)</f>
        <v>0</v>
      </c>
      <c r="K109">
        <v>0</v>
      </c>
      <c r="L109">
        <v>0</v>
      </c>
    </row>
    <row r="110" spans="1:12" x14ac:dyDescent="0.25">
      <c r="A110" t="s">
        <v>475</v>
      </c>
      <c r="B110">
        <f>_xlfn.XLOOKUP(A110,'Do podmianki'!A:A,'Do podmianki'!B:B,K110)</f>
        <v>0</v>
      </c>
      <c r="C110">
        <f>_xlfn.XLOOKUP(A110,'Do podmianki'!A:A,'Do podmianki'!C:C,L110)</f>
        <v>0</v>
      </c>
      <c r="K110">
        <v>0</v>
      </c>
      <c r="L110">
        <v>0</v>
      </c>
    </row>
    <row r="111" spans="1:12" x14ac:dyDescent="0.25">
      <c r="A111" t="s">
        <v>476</v>
      </c>
      <c r="B111">
        <f>_xlfn.XLOOKUP(A111,'Do podmianki'!A:A,'Do podmianki'!B:B,K111)</f>
        <v>0</v>
      </c>
      <c r="C111">
        <f>_xlfn.XLOOKUP(A111,'Do podmianki'!A:A,'Do podmianki'!C:C,L111)</f>
        <v>0</v>
      </c>
      <c r="K111">
        <v>0</v>
      </c>
      <c r="L111">
        <v>0</v>
      </c>
    </row>
    <row r="112" spans="1:12" x14ac:dyDescent="0.25">
      <c r="A112" t="s">
        <v>477</v>
      </c>
      <c r="B112">
        <f>_xlfn.XLOOKUP(A112,'Do podmianki'!A:A,'Do podmianki'!B:B,K112)</f>
        <v>0</v>
      </c>
      <c r="C112">
        <f>_xlfn.XLOOKUP(A112,'Do podmianki'!A:A,'Do podmianki'!C:C,L112)</f>
        <v>0</v>
      </c>
      <c r="K112">
        <v>0</v>
      </c>
      <c r="L112">
        <v>0</v>
      </c>
    </row>
    <row r="113" spans="1:12" x14ac:dyDescent="0.25">
      <c r="A113" t="s">
        <v>478</v>
      </c>
      <c r="B113">
        <f>_xlfn.XLOOKUP(A113,'Do podmianki'!A:A,'Do podmianki'!B:B,K113)</f>
        <v>0</v>
      </c>
      <c r="C113">
        <f>_xlfn.XLOOKUP(A113,'Do podmianki'!A:A,'Do podmianki'!C:C,L113)</f>
        <v>0</v>
      </c>
      <c r="K113">
        <v>0</v>
      </c>
      <c r="L113">
        <v>0</v>
      </c>
    </row>
    <row r="114" spans="1:12" x14ac:dyDescent="0.25">
      <c r="A114" t="s">
        <v>479</v>
      </c>
      <c r="B114">
        <f>_xlfn.XLOOKUP(A114,'Do podmianki'!A:A,'Do podmianki'!B:B,K114)</f>
        <v>0</v>
      </c>
      <c r="C114">
        <f>_xlfn.XLOOKUP(A114,'Do podmianki'!A:A,'Do podmianki'!C:C,L114)</f>
        <v>0</v>
      </c>
      <c r="K114">
        <v>0</v>
      </c>
      <c r="L114">
        <v>0</v>
      </c>
    </row>
    <row r="115" spans="1:12" x14ac:dyDescent="0.25">
      <c r="A115" t="s">
        <v>621</v>
      </c>
      <c r="B115">
        <f>_xlfn.XLOOKUP(A115,'Do podmianki'!A:A,'Do podmianki'!B:B,K115)</f>
        <v>0</v>
      </c>
      <c r="C115">
        <f>_xlfn.XLOOKUP(A115,'Do podmianki'!A:A,'Do podmianki'!C:C,L115)</f>
        <v>0</v>
      </c>
      <c r="K115">
        <v>0</v>
      </c>
      <c r="L115">
        <v>0</v>
      </c>
    </row>
    <row r="116" spans="1:12" x14ac:dyDescent="0.25">
      <c r="A116" t="s">
        <v>480</v>
      </c>
      <c r="B116">
        <f>_xlfn.XLOOKUP(A116,'Do podmianki'!A:A,'Do podmianki'!B:B,K116)</f>
        <v>0</v>
      </c>
      <c r="C116">
        <f>_xlfn.XLOOKUP(A116,'Do podmianki'!A:A,'Do podmianki'!C:C,L116)</f>
        <v>0</v>
      </c>
      <c r="K116">
        <v>0</v>
      </c>
      <c r="L116">
        <v>0</v>
      </c>
    </row>
    <row r="117" spans="1:12" x14ac:dyDescent="0.25">
      <c r="A117" t="s">
        <v>481</v>
      </c>
      <c r="B117">
        <f>_xlfn.XLOOKUP(A117,'Do podmianki'!A:A,'Do podmianki'!B:B,K117)</f>
        <v>0</v>
      </c>
      <c r="C117">
        <f>_xlfn.XLOOKUP(A117,'Do podmianki'!A:A,'Do podmianki'!C:C,L117)</f>
        <v>0</v>
      </c>
      <c r="K117">
        <v>0</v>
      </c>
      <c r="L117">
        <v>0</v>
      </c>
    </row>
    <row r="118" spans="1:12" x14ac:dyDescent="0.25">
      <c r="A118" t="s">
        <v>482</v>
      </c>
      <c r="B118">
        <f>_xlfn.XLOOKUP(A118,'Do podmianki'!A:A,'Do podmianki'!B:B,K118)</f>
        <v>0</v>
      </c>
      <c r="C118">
        <f>_xlfn.XLOOKUP(A118,'Do podmianki'!A:A,'Do podmianki'!C:C,L118)</f>
        <v>0</v>
      </c>
      <c r="K118">
        <v>0</v>
      </c>
      <c r="L118">
        <v>0</v>
      </c>
    </row>
    <row r="119" spans="1:12" x14ac:dyDescent="0.25">
      <c r="A119" t="s">
        <v>483</v>
      </c>
      <c r="B119">
        <f>_xlfn.XLOOKUP(A119,'Do podmianki'!A:A,'Do podmianki'!B:B,K119)</f>
        <v>0</v>
      </c>
      <c r="C119">
        <f>_xlfn.XLOOKUP(A119,'Do podmianki'!A:A,'Do podmianki'!C:C,L119)</f>
        <v>0</v>
      </c>
      <c r="K119">
        <v>0</v>
      </c>
      <c r="L119">
        <v>0</v>
      </c>
    </row>
    <row r="120" spans="1:12" x14ac:dyDescent="0.25">
      <c r="A120" t="s">
        <v>484</v>
      </c>
      <c r="B120">
        <f>_xlfn.XLOOKUP(A120,'Do podmianki'!A:A,'Do podmianki'!B:B,K120)</f>
        <v>0</v>
      </c>
      <c r="C120">
        <f>_xlfn.XLOOKUP(A120,'Do podmianki'!A:A,'Do podmianki'!C:C,L120)</f>
        <v>0</v>
      </c>
      <c r="K120">
        <v>0</v>
      </c>
      <c r="L120">
        <v>0</v>
      </c>
    </row>
    <row r="121" spans="1:12" x14ac:dyDescent="0.25">
      <c r="A121" t="s">
        <v>620</v>
      </c>
      <c r="B121">
        <f>_xlfn.XLOOKUP(A121,'Do podmianki'!A:A,'Do podmianki'!B:B,K121)</f>
        <v>0</v>
      </c>
      <c r="C121">
        <f>_xlfn.XLOOKUP(A121,'Do podmianki'!A:A,'Do podmianki'!C:C,L121)</f>
        <v>0</v>
      </c>
      <c r="K121">
        <v>0</v>
      </c>
      <c r="L121">
        <v>0</v>
      </c>
    </row>
    <row r="122" spans="1:12" x14ac:dyDescent="0.25">
      <c r="A122" t="s">
        <v>485</v>
      </c>
      <c r="B122">
        <f>_xlfn.XLOOKUP(A122,'Do podmianki'!A:A,'Do podmianki'!B:B,K122)</f>
        <v>0</v>
      </c>
      <c r="C122">
        <f>_xlfn.XLOOKUP(A122,'Do podmianki'!A:A,'Do podmianki'!C:C,L122)</f>
        <v>0</v>
      </c>
      <c r="K122">
        <v>0</v>
      </c>
      <c r="L122">
        <v>0</v>
      </c>
    </row>
    <row r="123" spans="1:12" x14ac:dyDescent="0.25">
      <c r="A123" t="s">
        <v>486</v>
      </c>
      <c r="B123">
        <f>_xlfn.XLOOKUP(A123,'Do podmianki'!A:A,'Do podmianki'!B:B,K123)</f>
        <v>0</v>
      </c>
      <c r="C123">
        <f>_xlfn.XLOOKUP(A123,'Do podmianki'!A:A,'Do podmianki'!C:C,L123)</f>
        <v>0</v>
      </c>
      <c r="K123">
        <v>0</v>
      </c>
      <c r="L123">
        <v>0</v>
      </c>
    </row>
    <row r="124" spans="1:12" x14ac:dyDescent="0.25">
      <c r="A124" t="s">
        <v>487</v>
      </c>
      <c r="B124">
        <f>_xlfn.XLOOKUP(A124,'Do podmianki'!A:A,'Do podmianki'!B:B,K124)</f>
        <v>0</v>
      </c>
      <c r="C124">
        <f>_xlfn.XLOOKUP(A124,'Do podmianki'!A:A,'Do podmianki'!C:C,L124)</f>
        <v>0</v>
      </c>
      <c r="K124">
        <v>0</v>
      </c>
      <c r="L124">
        <v>0</v>
      </c>
    </row>
    <row r="125" spans="1:12" x14ac:dyDescent="0.25">
      <c r="A125" t="s">
        <v>488</v>
      </c>
      <c r="B125">
        <f>_xlfn.XLOOKUP(A125,'Do podmianki'!A:A,'Do podmianki'!B:B,K125)</f>
        <v>0</v>
      </c>
      <c r="C125">
        <f>_xlfn.XLOOKUP(A125,'Do podmianki'!A:A,'Do podmianki'!C:C,L125)</f>
        <v>0</v>
      </c>
      <c r="K125">
        <v>0</v>
      </c>
      <c r="L125">
        <v>0</v>
      </c>
    </row>
    <row r="126" spans="1:12" x14ac:dyDescent="0.25">
      <c r="A126" t="s">
        <v>489</v>
      </c>
      <c r="B126">
        <f>_xlfn.XLOOKUP(A126,'Do podmianki'!A:A,'Do podmianki'!B:B,K126)</f>
        <v>0</v>
      </c>
      <c r="C126">
        <f>_xlfn.XLOOKUP(A126,'Do podmianki'!A:A,'Do podmianki'!C:C,L126)</f>
        <v>0</v>
      </c>
      <c r="K126">
        <v>0</v>
      </c>
      <c r="L126">
        <v>0</v>
      </c>
    </row>
    <row r="127" spans="1:12" x14ac:dyDescent="0.25">
      <c r="A127" t="s">
        <v>490</v>
      </c>
      <c r="B127">
        <f>_xlfn.XLOOKUP(A127,'Do podmianki'!A:A,'Do podmianki'!B:B,K127)</f>
        <v>0</v>
      </c>
      <c r="C127">
        <f>_xlfn.XLOOKUP(A127,'Do podmianki'!A:A,'Do podmianki'!C:C,L127)</f>
        <v>0</v>
      </c>
      <c r="K127">
        <v>0</v>
      </c>
      <c r="L127">
        <v>0</v>
      </c>
    </row>
    <row r="128" spans="1:12" x14ac:dyDescent="0.25">
      <c r="A128" t="s">
        <v>491</v>
      </c>
      <c r="B128">
        <f>_xlfn.XLOOKUP(A128,'Do podmianki'!A:A,'Do podmianki'!B:B,K128)</f>
        <v>0</v>
      </c>
      <c r="C128">
        <f>_xlfn.XLOOKUP(A128,'Do podmianki'!A:A,'Do podmianki'!C:C,L128)</f>
        <v>0</v>
      </c>
      <c r="K128">
        <v>0</v>
      </c>
      <c r="L128">
        <v>0</v>
      </c>
    </row>
    <row r="129" spans="1:18" x14ac:dyDescent="0.25">
      <c r="A129" t="s">
        <v>492</v>
      </c>
      <c r="B129">
        <f>_xlfn.XLOOKUP(A129,'Do podmianki'!A:A,'Do podmianki'!B:B,K129)</f>
        <v>0</v>
      </c>
      <c r="C129">
        <f>_xlfn.XLOOKUP(A129,'Do podmianki'!A:A,'Do podmianki'!C:C,L129)</f>
        <v>0</v>
      </c>
      <c r="K129">
        <v>0</v>
      </c>
      <c r="L129">
        <v>0</v>
      </c>
    </row>
    <row r="130" spans="1:18" x14ac:dyDescent="0.25">
      <c r="A130" t="s">
        <v>493</v>
      </c>
      <c r="B130">
        <f>_xlfn.XLOOKUP(A130,'Do podmianki'!A:A,'Do podmianki'!B:B,K130)</f>
        <v>0</v>
      </c>
      <c r="C130">
        <f>_xlfn.XLOOKUP(A130,'Do podmianki'!A:A,'Do podmianki'!C:C,L130)</f>
        <v>0</v>
      </c>
      <c r="K130">
        <v>0</v>
      </c>
      <c r="L130">
        <v>0</v>
      </c>
    </row>
    <row r="131" spans="1:18" x14ac:dyDescent="0.25">
      <c r="A131" t="s">
        <v>494</v>
      </c>
      <c r="B131">
        <f>_xlfn.XLOOKUP(A131,'Do podmianki'!A:A,'Do podmianki'!B:B,K131)</f>
        <v>0</v>
      </c>
      <c r="C131">
        <f>_xlfn.XLOOKUP(A131,'Do podmianki'!A:A,'Do podmianki'!C:C,L131)</f>
        <v>0</v>
      </c>
      <c r="K131">
        <v>0</v>
      </c>
      <c r="L131">
        <v>0</v>
      </c>
    </row>
    <row r="132" spans="1:18" x14ac:dyDescent="0.25">
      <c r="A132" t="s">
        <v>495</v>
      </c>
      <c r="B132">
        <f>_xlfn.XLOOKUP(A132,'Do podmianki'!A:A,'Do podmianki'!B:B,K132)</f>
        <v>0</v>
      </c>
      <c r="C132">
        <f>_xlfn.XLOOKUP(A132,'Do podmianki'!A:A,'Do podmianki'!C:C,L132)</f>
        <v>0</v>
      </c>
      <c r="K132">
        <v>0</v>
      </c>
      <c r="L132">
        <v>0</v>
      </c>
    </row>
    <row r="133" spans="1:18" x14ac:dyDescent="0.25">
      <c r="A133" t="s">
        <v>496</v>
      </c>
      <c r="B133">
        <f>_xlfn.XLOOKUP(A133,'Do podmianki'!A:A,'Do podmianki'!B:B,K133)</f>
        <v>0</v>
      </c>
      <c r="C133">
        <f>_xlfn.XLOOKUP(A133,'Do podmianki'!A:A,'Do podmianki'!C:C,L133)</f>
        <v>0</v>
      </c>
      <c r="K133">
        <v>0</v>
      </c>
      <c r="L133">
        <v>0</v>
      </c>
    </row>
    <row r="134" spans="1:18" x14ac:dyDescent="0.25">
      <c r="A134" t="s">
        <v>538</v>
      </c>
      <c r="B134">
        <f>_xlfn.XLOOKUP(A134,'Do podmianki'!A:A,'Do podmianki'!B:B,K134)</f>
        <v>0</v>
      </c>
      <c r="C134">
        <f>_xlfn.XLOOKUP(A134,'Do podmianki'!A:A,'Do podmianki'!C:C,L134)</f>
        <v>0</v>
      </c>
      <c r="K134">
        <v>0</v>
      </c>
      <c r="L134">
        <v>0</v>
      </c>
    </row>
    <row r="135" spans="1:18" x14ac:dyDescent="0.25">
      <c r="A135" t="s">
        <v>622</v>
      </c>
      <c r="B135">
        <f>_xlfn.XLOOKUP($P135,Generators!$A:$A,Generators!B:B)</f>
        <v>40.200000000000003</v>
      </c>
      <c r="C135">
        <f>_xlfn.XLOOKUP($P135,Generators!$A:$A,Generators!C:C)</f>
        <v>177.1</v>
      </c>
      <c r="P135" t="s">
        <v>195</v>
      </c>
      <c r="Q135">
        <f>_xlfn.XLOOKUP($P135,Generators!$A:$A,Generators!B:B)</f>
        <v>40.200000000000003</v>
      </c>
      <c r="R135">
        <f>_xlfn.XLOOKUP($P135,Generators!$A:$A,Generators!C:C)</f>
        <v>177.1</v>
      </c>
    </row>
    <row r="136" spans="1:18" x14ac:dyDescent="0.25">
      <c r="A136" t="s">
        <v>623</v>
      </c>
      <c r="B136">
        <f>_xlfn.XLOOKUP($P136,Generators!$A:$A,Generators!B:B)</f>
        <v>30.5</v>
      </c>
      <c r="C136">
        <f>_xlfn.XLOOKUP($P136,Generators!$A:$A,Generators!C:C)</f>
        <v>-1.2</v>
      </c>
      <c r="P136" t="s">
        <v>196</v>
      </c>
      <c r="Q136">
        <f>_xlfn.XLOOKUP($P136,Generators!$A:$A,Generators!B:B)</f>
        <v>30.5</v>
      </c>
      <c r="R136">
        <f>_xlfn.XLOOKUP($P136,Generators!$A:$A,Generators!C:C)</f>
        <v>-1.2</v>
      </c>
    </row>
    <row r="137" spans="1:18" x14ac:dyDescent="0.25">
      <c r="A137" t="s">
        <v>624</v>
      </c>
      <c r="B137">
        <f>_xlfn.XLOOKUP($P137,Generators!$A:$A,Generators!B:B)</f>
        <v>42.8</v>
      </c>
      <c r="C137">
        <f>_xlfn.XLOOKUP($P137,Generators!$A:$A,Generators!C:C)</f>
        <v>11.9</v>
      </c>
      <c r="P137" t="s">
        <v>198</v>
      </c>
      <c r="Q137">
        <f>_xlfn.XLOOKUP($P137,Generators!$A:$A,Generators!B:B)</f>
        <v>42.8</v>
      </c>
      <c r="R137">
        <f>_xlfn.XLOOKUP($P137,Generators!$A:$A,Generators!C:C)</f>
        <v>11.9</v>
      </c>
    </row>
    <row r="138" spans="1:18" x14ac:dyDescent="0.25">
      <c r="A138" t="s">
        <v>625</v>
      </c>
      <c r="B138">
        <f>_xlfn.XLOOKUP($P138,Generators!$A:$A,Generators!B:B)</f>
        <v>22.9</v>
      </c>
      <c r="C138">
        <f>_xlfn.XLOOKUP($P138,Generators!$A:$A,Generators!C:C)</f>
        <v>59.1</v>
      </c>
      <c r="P138" t="s">
        <v>199</v>
      </c>
      <c r="Q138">
        <f>_xlfn.XLOOKUP($P138,Generators!$A:$A,Generators!B:B)</f>
        <v>22.9</v>
      </c>
      <c r="R138">
        <f>_xlfn.XLOOKUP($P138,Generators!$A:$A,Generators!C:C)</f>
        <v>59.1</v>
      </c>
    </row>
    <row r="139" spans="1:18" x14ac:dyDescent="0.25">
      <c r="A139" t="s">
        <v>626</v>
      </c>
      <c r="B139">
        <f>_xlfn.XLOOKUP($P139,Generators!$A:$A,Generators!B:B)</f>
        <v>18.3</v>
      </c>
      <c r="C139">
        <f>_xlfn.XLOOKUP($P139,Generators!$A:$A,Generators!C:C)</f>
        <v>-17.3</v>
      </c>
      <c r="P139" t="s">
        <v>216</v>
      </c>
      <c r="Q139">
        <f>_xlfn.XLOOKUP($P139,Generators!$A:$A,Generators!B:B)</f>
        <v>18.3</v>
      </c>
      <c r="R139">
        <f>_xlfn.XLOOKUP($P139,Generators!$A:$A,Generators!C:C)</f>
        <v>-17.3</v>
      </c>
    </row>
    <row r="140" spans="1:18" x14ac:dyDescent="0.25">
      <c r="A140" t="s">
        <v>627</v>
      </c>
      <c r="B140">
        <f>_xlfn.XLOOKUP($P140,Generators!$A:$A,Generators!B:B)</f>
        <v>66.900000000000006</v>
      </c>
      <c r="C140">
        <f>_xlfn.XLOOKUP($P140,Generators!$A:$A,Generators!C:C)</f>
        <v>117.2</v>
      </c>
      <c r="P140" t="s">
        <v>225</v>
      </c>
      <c r="Q140">
        <f>_xlfn.XLOOKUP($P140,Generators!$A:$A,Generators!B:B)</f>
        <v>66.900000000000006</v>
      </c>
      <c r="R140">
        <f>_xlfn.XLOOKUP($P140,Generators!$A:$A,Generators!C:C)</f>
        <v>117.2</v>
      </c>
    </row>
    <row r="141" spans="1:18" x14ac:dyDescent="0.25">
      <c r="A141" t="s">
        <v>628</v>
      </c>
      <c r="B141">
        <f>_xlfn.XLOOKUP($P141,Generators!$A:$A,Generators!B:B)</f>
        <v>30.9</v>
      </c>
      <c r="C141">
        <f>_xlfn.XLOOKUP($P141,Generators!$A:$A,Generators!C:C)</f>
        <v>116.2</v>
      </c>
      <c r="P141" t="s">
        <v>226</v>
      </c>
      <c r="Q141">
        <f>_xlfn.XLOOKUP($P141,Generators!$A:$A,Generators!B:B)</f>
        <v>30.9</v>
      </c>
      <c r="R141">
        <f>_xlfn.XLOOKUP($P141,Generators!$A:$A,Generators!C:C)</f>
        <v>116.2</v>
      </c>
    </row>
    <row r="142" spans="1:18" x14ac:dyDescent="0.25">
      <c r="A142" t="s">
        <v>629</v>
      </c>
      <c r="B142">
        <f>_xlfn.XLOOKUP($P142,Generators!$A:$A,Generators!B:B)</f>
        <v>11.2</v>
      </c>
      <c r="C142">
        <f>_xlfn.XLOOKUP($P142,Generators!$A:$A,Generators!C:C)</f>
        <v>110.1</v>
      </c>
      <c r="P142" t="s">
        <v>232</v>
      </c>
      <c r="Q142">
        <f>_xlfn.XLOOKUP($P142,Generators!$A:$A,Generators!B:B)</f>
        <v>11.2</v>
      </c>
      <c r="R142">
        <f>_xlfn.XLOOKUP($P142,Generators!$A:$A,Generators!C:C)</f>
        <v>110.1</v>
      </c>
    </row>
    <row r="143" spans="1:18" x14ac:dyDescent="0.25">
      <c r="A143" t="s">
        <v>630</v>
      </c>
      <c r="B143">
        <f>_xlfn.XLOOKUP($P143,Generators!$A:$A,Generators!B:B)</f>
        <v>70.8</v>
      </c>
      <c r="C143">
        <f>_xlfn.XLOOKUP($P143,Generators!$A:$A,Generators!C:C)</f>
        <v>-96.9</v>
      </c>
      <c r="P143" t="s">
        <v>237</v>
      </c>
      <c r="Q143">
        <f>_xlfn.XLOOKUP($P143,Generators!$A:$A,Generators!B:B)</f>
        <v>70.8</v>
      </c>
      <c r="R143">
        <f>_xlfn.XLOOKUP($P143,Generators!$A:$A,Generators!C:C)</f>
        <v>-96.9</v>
      </c>
    </row>
    <row r="144" spans="1:18" x14ac:dyDescent="0.25">
      <c r="A144" t="s">
        <v>631</v>
      </c>
      <c r="B144">
        <f>_xlfn.XLOOKUP($P144,Generators!$A:$A,Generators!B:B)</f>
        <v>143.5</v>
      </c>
      <c r="C144">
        <f>_xlfn.XLOOKUP($P144,Generators!$A:$A,Generators!C:C)</f>
        <v>-98.3</v>
      </c>
      <c r="P144" t="s">
        <v>241</v>
      </c>
      <c r="Q144">
        <f>_xlfn.XLOOKUP($P144,Generators!$A:$A,Generators!B:B)</f>
        <v>143.5</v>
      </c>
      <c r="R144">
        <f>_xlfn.XLOOKUP($P144,Generators!$A:$A,Generators!C:C)</f>
        <v>-98.3</v>
      </c>
    </row>
    <row r="145" spans="1:18" x14ac:dyDescent="0.25">
      <c r="A145" t="s">
        <v>632</v>
      </c>
      <c r="B145">
        <f>_xlfn.XLOOKUP($P145,Generators!$A:$A,Generators!B:B)</f>
        <v>22.3</v>
      </c>
      <c r="C145">
        <f>_xlfn.XLOOKUP($P145,Generators!$A:$A,Generators!C:C)</f>
        <v>-100.6</v>
      </c>
      <c r="P145" t="s">
        <v>242</v>
      </c>
      <c r="Q145">
        <f>_xlfn.XLOOKUP($P145,Generators!$A:$A,Generators!B:B)</f>
        <v>22.3</v>
      </c>
      <c r="R145">
        <f>_xlfn.XLOOKUP($P145,Generators!$A:$A,Generators!C:C)</f>
        <v>-100.6</v>
      </c>
    </row>
    <row r="146" spans="1:18" x14ac:dyDescent="0.25">
      <c r="A146" t="s">
        <v>633</v>
      </c>
      <c r="B146">
        <f>_xlfn.XLOOKUP($P146,Generators!$A:$A,Generators!B:B)</f>
        <v>26.8</v>
      </c>
      <c r="C146">
        <f>_xlfn.XLOOKUP($P146,Generators!$A:$A,Generators!C:C)</f>
        <v>128.1</v>
      </c>
      <c r="P146" t="s">
        <v>243</v>
      </c>
      <c r="Q146">
        <f>_xlfn.XLOOKUP($P146,Generators!$A:$A,Generators!B:B)</f>
        <v>26.8</v>
      </c>
      <c r="R146">
        <f>_xlfn.XLOOKUP($P146,Generators!$A:$A,Generators!C:C)</f>
        <v>128.1</v>
      </c>
    </row>
    <row r="147" spans="1:18" x14ac:dyDescent="0.25">
      <c r="A147" t="s">
        <v>634</v>
      </c>
      <c r="B147">
        <f>_xlfn.XLOOKUP($P147,Generators!$A:$A,Generators!B:B)</f>
        <v>37.5</v>
      </c>
      <c r="C147">
        <f>_xlfn.XLOOKUP($P147,Generators!$A:$A,Generators!C:C)</f>
        <v>-79.900000000000006</v>
      </c>
      <c r="P147" t="s">
        <v>244</v>
      </c>
      <c r="Q147">
        <f>_xlfn.XLOOKUP($P147,Generators!$A:$A,Generators!B:B)</f>
        <v>37.5</v>
      </c>
      <c r="R147">
        <f>_xlfn.XLOOKUP($P147,Generators!$A:$A,Generators!C:C)</f>
        <v>-79.900000000000006</v>
      </c>
    </row>
    <row r="148" spans="1:18" x14ac:dyDescent="0.25">
      <c r="A148" t="s">
        <v>635</v>
      </c>
      <c r="B148">
        <f>_xlfn.XLOOKUP($P148,Generators!$A:$A,Generators!B:B)</f>
        <v>53.3</v>
      </c>
      <c r="C148">
        <f>_xlfn.XLOOKUP($P148,Generators!$A:$A,Generators!C:C)</f>
        <v>-16.899999999999999</v>
      </c>
      <c r="P148" t="s">
        <v>245</v>
      </c>
      <c r="Q148">
        <f>_xlfn.XLOOKUP($P148,Generators!$A:$A,Generators!B:B)</f>
        <v>53.3</v>
      </c>
      <c r="R148">
        <f>_xlfn.XLOOKUP($P148,Generators!$A:$A,Generators!C:C)</f>
        <v>-16.899999999999999</v>
      </c>
    </row>
    <row r="149" spans="1:18" x14ac:dyDescent="0.25">
      <c r="A149" t="s">
        <v>636</v>
      </c>
      <c r="B149">
        <f>_xlfn.XLOOKUP($P149,Generators!$A:$A,Generators!B:B)</f>
        <v>62</v>
      </c>
      <c r="C149">
        <f>_xlfn.XLOOKUP($P149,Generators!$A:$A,Generators!C:C)</f>
        <v>-4.5999999999999996</v>
      </c>
      <c r="P149" t="s">
        <v>246</v>
      </c>
      <c r="Q149">
        <f>_xlfn.XLOOKUP($P149,Generators!$A:$A,Generators!B:B)</f>
        <v>62</v>
      </c>
      <c r="R149">
        <f>_xlfn.XLOOKUP($P149,Generators!$A:$A,Generators!C:C)</f>
        <v>-4.5999999999999996</v>
      </c>
    </row>
    <row r="150" spans="1:18" x14ac:dyDescent="0.25">
      <c r="A150" t="s">
        <v>637</v>
      </c>
      <c r="B150">
        <f>_xlfn.XLOOKUP($P150,Generators!$A:$A,Generators!B:B)</f>
        <v>18.899999999999999</v>
      </c>
      <c r="C150">
        <f>_xlfn.XLOOKUP($P150,Generators!$A:$A,Generators!C:C)</f>
        <v>-2.7</v>
      </c>
      <c r="P150" t="s">
        <v>247</v>
      </c>
      <c r="Q150">
        <f>_xlfn.XLOOKUP($P150,Generators!$A:$A,Generators!B:B)</f>
        <v>18.899999999999999</v>
      </c>
      <c r="R150">
        <f>_xlfn.XLOOKUP($P150,Generators!$A:$A,Generators!C:C)</f>
        <v>-2.7</v>
      </c>
    </row>
    <row r="151" spans="1:18" x14ac:dyDescent="0.25">
      <c r="A151" t="s">
        <v>638</v>
      </c>
      <c r="B151">
        <f>_xlfn.XLOOKUP($P151,Generators!$A:$A,Generators!B:B)</f>
        <v>8</v>
      </c>
      <c r="C151">
        <f>_xlfn.XLOOKUP($P151,Generators!$A:$A,Generators!C:C)</f>
        <v>169.5</v>
      </c>
      <c r="P151" t="s">
        <v>248</v>
      </c>
      <c r="Q151">
        <f>_xlfn.XLOOKUP($P151,Generators!$A:$A,Generators!B:B)</f>
        <v>8</v>
      </c>
      <c r="R151">
        <f>_xlfn.XLOOKUP($P151,Generators!$A:$A,Generators!C:C)</f>
        <v>169.5</v>
      </c>
    </row>
    <row r="152" spans="1:18" x14ac:dyDescent="0.25">
      <c r="A152" t="s">
        <v>639</v>
      </c>
      <c r="B152">
        <f>_xlfn.XLOOKUP($P152,Generators!$A:$A,Generators!B:B)</f>
        <v>229.8</v>
      </c>
      <c r="C152">
        <f>_xlfn.XLOOKUP($P152,Generators!$A:$A,Generators!C:C)</f>
        <v>-25.4</v>
      </c>
      <c r="P152" t="s">
        <v>249</v>
      </c>
      <c r="Q152">
        <f>_xlfn.XLOOKUP($P152,Generators!$A:$A,Generators!B:B)</f>
        <v>229.8</v>
      </c>
      <c r="R152">
        <f>_xlfn.XLOOKUP($P152,Generators!$A:$A,Generators!C:C)</f>
        <v>-25.4</v>
      </c>
    </row>
    <row r="153" spans="1:18" x14ac:dyDescent="0.25">
      <c r="A153" t="s">
        <v>640</v>
      </c>
      <c r="B153">
        <f>_xlfn.XLOOKUP($P153,Generators!$A:$A,Generators!B:B)</f>
        <v>33.799999999999997</v>
      </c>
      <c r="C153">
        <f>_xlfn.XLOOKUP($P153,Generators!$A:$A,Generators!C:C)</f>
        <v>-30.5</v>
      </c>
      <c r="P153" t="s">
        <v>250</v>
      </c>
      <c r="Q153">
        <f>_xlfn.XLOOKUP($P153,Generators!$A:$A,Generators!B:B)</f>
        <v>33.799999999999997</v>
      </c>
      <c r="R153">
        <f>_xlfn.XLOOKUP($P153,Generators!$A:$A,Generators!C:C)</f>
        <v>-30.5</v>
      </c>
    </row>
    <row r="154" spans="1:18" x14ac:dyDescent="0.25">
      <c r="A154" t="s">
        <v>641</v>
      </c>
      <c r="B154">
        <f>_xlfn.XLOOKUP($P154,Generators!$A:$A,Generators!B:B)</f>
        <v>28.3</v>
      </c>
      <c r="C154">
        <f>_xlfn.XLOOKUP($P154,Generators!$A:$A,Generators!C:C)</f>
        <v>-8.6</v>
      </c>
      <c r="P154" t="s">
        <v>251</v>
      </c>
      <c r="Q154">
        <f>_xlfn.XLOOKUP($P154,Generators!$A:$A,Generators!B:B)</f>
        <v>28.3</v>
      </c>
      <c r="R154">
        <f>_xlfn.XLOOKUP($P154,Generators!$A:$A,Generators!C:C)</f>
        <v>-8.6</v>
      </c>
    </row>
    <row r="155" spans="1:18" x14ac:dyDescent="0.25">
      <c r="A155" t="s">
        <v>642</v>
      </c>
      <c r="B155">
        <f>_xlfn.XLOOKUP($P155,Generators!$A:$A,Generators!B:B)</f>
        <v>80</v>
      </c>
      <c r="C155">
        <f>_xlfn.XLOOKUP($P155,Generators!$A:$A,Generators!C:C)</f>
        <v>11.4</v>
      </c>
      <c r="P155" t="s">
        <v>252</v>
      </c>
      <c r="Q155">
        <f>_xlfn.XLOOKUP($P155,Generators!$A:$A,Generators!B:B)</f>
        <v>80</v>
      </c>
      <c r="R155">
        <f>_xlfn.XLOOKUP($P155,Generators!$A:$A,Generators!C:C)</f>
        <v>11.4</v>
      </c>
    </row>
    <row r="156" spans="1:18" x14ac:dyDescent="0.25">
      <c r="A156" t="s">
        <v>643</v>
      </c>
      <c r="B156">
        <f>_xlfn.XLOOKUP($P156,Generators!$A:$A,Generators!B:B)</f>
        <v>63.5</v>
      </c>
      <c r="C156">
        <f>_xlfn.XLOOKUP($P156,Generators!$A:$A,Generators!C:C)</f>
        <v>64.5</v>
      </c>
      <c r="P156" t="s">
        <v>253</v>
      </c>
      <c r="Q156">
        <f>_xlfn.XLOOKUP($P156,Generators!$A:$A,Generators!B:B)</f>
        <v>63.5</v>
      </c>
      <c r="R156">
        <f>_xlfn.XLOOKUP($P156,Generators!$A:$A,Generators!C:C)</f>
        <v>64.5</v>
      </c>
    </row>
    <row r="157" spans="1:18" x14ac:dyDescent="0.25">
      <c r="A157" t="s">
        <v>644</v>
      </c>
      <c r="B157">
        <f>_xlfn.XLOOKUP($P157,Generators!$A:$A,Generators!B:B)</f>
        <v>40.6</v>
      </c>
      <c r="C157">
        <f>_xlfn.XLOOKUP($P157,Generators!$A:$A,Generators!C:C)</f>
        <v>-100.2</v>
      </c>
      <c r="P157" t="s">
        <v>254</v>
      </c>
      <c r="Q157">
        <f>_xlfn.XLOOKUP($P157,Generators!$A:$A,Generators!B:B)</f>
        <v>40.6</v>
      </c>
      <c r="R157">
        <f>_xlfn.XLOOKUP($P157,Generators!$A:$A,Generators!C:C)</f>
        <v>-100.2</v>
      </c>
    </row>
    <row r="158" spans="1:18" x14ac:dyDescent="0.25">
      <c r="A158" t="s">
        <v>645</v>
      </c>
      <c r="B158">
        <f>_xlfn.XLOOKUP($P158,Generators!$A:$A,Generators!B:B)</f>
        <v>31.7</v>
      </c>
      <c r="C158">
        <f>_xlfn.XLOOKUP($P158,Generators!$A:$A,Generators!C:C)</f>
        <v>-6.3</v>
      </c>
      <c r="P158" t="s">
        <v>255</v>
      </c>
      <c r="Q158">
        <f>_xlfn.XLOOKUP($P158,Generators!$A:$A,Generators!B:B)</f>
        <v>31.7</v>
      </c>
      <c r="R158">
        <f>_xlfn.XLOOKUP($P158,Generators!$A:$A,Generators!C:C)</f>
        <v>-6.3</v>
      </c>
    </row>
    <row r="159" spans="1:18" x14ac:dyDescent="0.25">
      <c r="A159" t="s">
        <v>646</v>
      </c>
      <c r="B159">
        <f>_xlfn.XLOOKUP($P159,Generators!$A:$A,Generators!B:B)</f>
        <v>77</v>
      </c>
      <c r="C159">
        <f>_xlfn.XLOOKUP($P159,Generators!$A:$A,Generators!C:C)</f>
        <v>-10.4</v>
      </c>
      <c r="P159" t="s">
        <v>256</v>
      </c>
      <c r="Q159">
        <f>_xlfn.XLOOKUP($P159,Generators!$A:$A,Generators!B:B)</f>
        <v>77</v>
      </c>
      <c r="R159">
        <f>_xlfn.XLOOKUP($P159,Generators!$A:$A,Generators!C:C)</f>
        <v>-10.4</v>
      </c>
    </row>
    <row r="160" spans="1:18" x14ac:dyDescent="0.25">
      <c r="A160" t="s">
        <v>647</v>
      </c>
      <c r="B160">
        <f>_xlfn.XLOOKUP($P160,Generators!$A:$A,Generators!B:B)</f>
        <v>96.7</v>
      </c>
      <c r="C160">
        <f>_xlfn.XLOOKUP($P160,Generators!$A:$A,Generators!C:C)</f>
        <v>-20.100000000000001</v>
      </c>
      <c r="P160" t="s">
        <v>257</v>
      </c>
      <c r="Q160">
        <f>_xlfn.XLOOKUP($P160,Generators!$A:$A,Generators!B:B)</f>
        <v>96.7</v>
      </c>
      <c r="R160">
        <f>_xlfn.XLOOKUP($P160,Generators!$A:$A,Generators!C:C)</f>
        <v>-20.100000000000001</v>
      </c>
    </row>
    <row r="161" spans="1:18" x14ac:dyDescent="0.25">
      <c r="A161" t="s">
        <v>648</v>
      </c>
      <c r="B161">
        <f>_xlfn.XLOOKUP($P161,Generators!$A:$A,Generators!B:B)</f>
        <v>41.5</v>
      </c>
      <c r="C161">
        <f>_xlfn.XLOOKUP($P161,Generators!$A:$A,Generators!C:C)</f>
        <v>-48.8</v>
      </c>
      <c r="P161" t="s">
        <v>258</v>
      </c>
      <c r="Q161">
        <f>_xlfn.XLOOKUP($P161,Generators!$A:$A,Generators!B:B)</f>
        <v>41.5</v>
      </c>
      <c r="R161">
        <f>_xlfn.XLOOKUP($P161,Generators!$A:$A,Generators!C:C)</f>
        <v>-48.8</v>
      </c>
    </row>
    <row r="162" spans="1:18" x14ac:dyDescent="0.25">
      <c r="A162" t="s">
        <v>649</v>
      </c>
      <c r="B162">
        <f>_xlfn.XLOOKUP($P162,Generators!$A:$A,Generators!B:B)</f>
        <v>1.2</v>
      </c>
      <c r="C162">
        <f>_xlfn.XLOOKUP($P162,Generators!$A:$A,Generators!C:C)</f>
        <v>0.4</v>
      </c>
      <c r="P162" t="s">
        <v>259</v>
      </c>
      <c r="Q162">
        <f>_xlfn.XLOOKUP($P162,Generators!$A:$A,Generators!B:B)</f>
        <v>1.2</v>
      </c>
      <c r="R162">
        <f>_xlfn.XLOOKUP($P162,Generators!$A:$A,Generators!C:C)</f>
        <v>0.4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BA7F-E22C-410F-B169-5C97597321C0}">
  <dimension ref="A1:E13"/>
  <sheetViews>
    <sheetView workbookViewId="0">
      <selection activeCell="F37" sqref="F37"/>
    </sheetView>
  </sheetViews>
  <sheetFormatPr defaultRowHeight="15" x14ac:dyDescent="0.25"/>
  <cols>
    <col min="1" max="1" width="17.7109375" customWidth="1"/>
    <col min="2" max="2" width="20.42578125" customWidth="1"/>
    <col min="3" max="3" width="16.7109375" customWidth="1"/>
  </cols>
  <sheetData>
    <row r="1" spans="1:5" x14ac:dyDescent="0.25">
      <c r="A1" t="s">
        <v>497</v>
      </c>
      <c r="B1" t="s">
        <v>498</v>
      </c>
      <c r="C1" t="s">
        <v>499</v>
      </c>
      <c r="D1" t="s">
        <v>500</v>
      </c>
      <c r="E1" t="s">
        <v>501</v>
      </c>
    </row>
    <row r="2" spans="1:5" x14ac:dyDescent="0.25">
      <c r="A2" t="s">
        <v>502</v>
      </c>
      <c r="B2" t="s">
        <v>503</v>
      </c>
      <c r="C2" t="s">
        <v>504</v>
      </c>
      <c r="D2" t="s">
        <v>505</v>
      </c>
      <c r="E2" t="s">
        <v>506</v>
      </c>
    </row>
    <row r="3" spans="1:5" x14ac:dyDescent="0.25">
      <c r="A3" t="s">
        <v>502</v>
      </c>
      <c r="B3" t="s">
        <v>523</v>
      </c>
      <c r="C3" t="s">
        <v>507</v>
      </c>
      <c r="D3" t="s">
        <v>508</v>
      </c>
      <c r="E3" t="s">
        <v>515</v>
      </c>
    </row>
    <row r="4" spans="1:5" x14ac:dyDescent="0.25">
      <c r="A4" t="s">
        <v>502</v>
      </c>
      <c r="B4" t="s">
        <v>525</v>
      </c>
      <c r="C4" t="s">
        <v>529</v>
      </c>
      <c r="D4" t="s">
        <v>508</v>
      </c>
      <c r="E4" t="s">
        <v>509</v>
      </c>
    </row>
    <row r="5" spans="1:5" x14ac:dyDescent="0.25">
      <c r="A5" t="s">
        <v>502</v>
      </c>
      <c r="B5" t="s">
        <v>526</v>
      </c>
      <c r="C5" t="s">
        <v>510</v>
      </c>
      <c r="D5" t="s">
        <v>511</v>
      </c>
      <c r="E5" t="s">
        <v>512</v>
      </c>
    </row>
    <row r="6" spans="1:5" x14ac:dyDescent="0.25">
      <c r="A6" t="s">
        <v>502</v>
      </c>
      <c r="B6" t="s">
        <v>527</v>
      </c>
      <c r="C6" t="s">
        <v>513</v>
      </c>
      <c r="D6" t="s">
        <v>514</v>
      </c>
      <c r="E6" t="s">
        <v>515</v>
      </c>
    </row>
    <row r="7" spans="1:5" x14ac:dyDescent="0.25">
      <c r="A7" t="s">
        <v>516</v>
      </c>
      <c r="B7" t="s">
        <v>517</v>
      </c>
      <c r="C7" t="s">
        <v>504</v>
      </c>
      <c r="D7" t="s">
        <v>505</v>
      </c>
      <c r="E7" t="s">
        <v>506</v>
      </c>
    </row>
    <row r="8" spans="1:5" x14ac:dyDescent="0.25">
      <c r="A8" t="s">
        <v>516</v>
      </c>
      <c r="B8" t="s">
        <v>528</v>
      </c>
      <c r="C8" t="s">
        <v>518</v>
      </c>
      <c r="D8" t="s">
        <v>519</v>
      </c>
      <c r="E8" t="s">
        <v>515</v>
      </c>
    </row>
    <row r="9" spans="1:5" x14ac:dyDescent="0.25">
      <c r="A9" t="s">
        <v>516</v>
      </c>
      <c r="B9" t="s">
        <v>530</v>
      </c>
      <c r="C9" t="s">
        <v>533</v>
      </c>
      <c r="D9" t="s">
        <v>531</v>
      </c>
      <c r="E9" t="s">
        <v>509</v>
      </c>
    </row>
    <row r="10" spans="1:5" x14ac:dyDescent="0.25">
      <c r="A10" t="s">
        <v>516</v>
      </c>
      <c r="B10" t="s">
        <v>532</v>
      </c>
      <c r="C10" t="s">
        <v>534</v>
      </c>
      <c r="D10" t="s">
        <v>531</v>
      </c>
      <c r="E10" t="s">
        <v>509</v>
      </c>
    </row>
    <row r="11" spans="1:5" x14ac:dyDescent="0.25">
      <c r="A11" t="s">
        <v>535</v>
      </c>
      <c r="B11" t="s">
        <v>520</v>
      </c>
      <c r="C11" t="s">
        <v>504</v>
      </c>
      <c r="D11" t="s">
        <v>505</v>
      </c>
      <c r="E11" t="s">
        <v>506</v>
      </c>
    </row>
    <row r="12" spans="1:5" x14ac:dyDescent="0.25">
      <c r="A12" t="s">
        <v>535</v>
      </c>
      <c r="B12" t="s">
        <v>528</v>
      </c>
      <c r="C12" t="s">
        <v>518</v>
      </c>
      <c r="D12" t="s">
        <v>524</v>
      </c>
    </row>
    <row r="13" spans="1:5" x14ac:dyDescent="0.25">
      <c r="A13" t="s">
        <v>535</v>
      </c>
      <c r="B13" t="s">
        <v>521</v>
      </c>
      <c r="C13" t="s">
        <v>536</v>
      </c>
      <c r="D13" t="s">
        <v>505</v>
      </c>
      <c r="E13" t="s">
        <v>522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2AB5-F9DD-41A2-94D4-27BED4EA3F5C}">
  <dimension ref="A1:R137"/>
  <sheetViews>
    <sheetView tabSelected="1" topLeftCell="A7" zoomScale="115" zoomScaleNormal="115" workbookViewId="0">
      <selection activeCell="D30" sqref="D30"/>
    </sheetView>
  </sheetViews>
  <sheetFormatPr defaultRowHeight="15" x14ac:dyDescent="0.25"/>
  <cols>
    <col min="1" max="1" width="12.28515625" customWidth="1"/>
    <col min="2" max="2" width="17.140625" customWidth="1"/>
    <col min="3" max="3" width="18.28515625" customWidth="1"/>
    <col min="4" max="4" width="10.42578125" customWidth="1"/>
    <col min="5" max="5" width="13.140625" customWidth="1"/>
  </cols>
  <sheetData>
    <row r="1" spans="1:18" x14ac:dyDescent="0.25">
      <c r="A1" t="s">
        <v>539</v>
      </c>
      <c r="B1" t="s">
        <v>497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N1" s="2"/>
    </row>
    <row r="2" spans="1:18" x14ac:dyDescent="0.25">
      <c r="A2" t="s">
        <v>622</v>
      </c>
      <c r="B2" t="s">
        <v>548</v>
      </c>
      <c r="C2" t="s">
        <v>546</v>
      </c>
      <c r="D2">
        <f>_xlfn.XLOOKUP(A2,[1]StatGen!A:A,[1]StatGen!B:B)*M2</f>
        <v>0</v>
      </c>
      <c r="E2">
        <v>100</v>
      </c>
      <c r="F2" t="s">
        <v>547</v>
      </c>
      <c r="G2">
        <f>-E2*$I$2</f>
        <v>0</v>
      </c>
      <c r="H2">
        <f>E2*$I$2</f>
        <v>0</v>
      </c>
      <c r="N2" s="2"/>
      <c r="P2" s="2"/>
    </row>
    <row r="3" spans="1:18" x14ac:dyDescent="0.25">
      <c r="A3" t="s">
        <v>623</v>
      </c>
      <c r="B3" t="s">
        <v>548</v>
      </c>
      <c r="C3" t="s">
        <v>546</v>
      </c>
      <c r="D3">
        <f>_xlfn.XLOOKUP(A3,[1]StatGen!A:A,[1]StatGen!B:B)*M3</f>
        <v>0</v>
      </c>
      <c r="E3">
        <v>100</v>
      </c>
      <c r="F3" t="s">
        <v>547</v>
      </c>
      <c r="G3">
        <f t="shared" ref="G3:G10" si="0">-E3*$I$2</f>
        <v>0</v>
      </c>
      <c r="H3">
        <f t="shared" ref="H3:H10" si="1">E3*$I$2</f>
        <v>0</v>
      </c>
      <c r="N3" s="2"/>
      <c r="P3" s="2"/>
      <c r="R3" s="2"/>
    </row>
    <row r="4" spans="1:18" x14ac:dyDescent="0.25">
      <c r="A4" t="s">
        <v>624</v>
      </c>
      <c r="B4" t="s">
        <v>548</v>
      </c>
      <c r="C4" t="s">
        <v>546</v>
      </c>
      <c r="D4">
        <f>_xlfn.XLOOKUP(A4,[1]StatGen!A:A,[1]StatGen!B:B)*M4</f>
        <v>0</v>
      </c>
      <c r="E4">
        <v>100</v>
      </c>
      <c r="F4" t="s">
        <v>547</v>
      </c>
      <c r="G4">
        <f t="shared" si="0"/>
        <v>0</v>
      </c>
      <c r="H4">
        <f t="shared" si="1"/>
        <v>0</v>
      </c>
      <c r="N4" s="2"/>
      <c r="P4" s="2"/>
      <c r="R4" s="2"/>
    </row>
    <row r="5" spans="1:18" x14ac:dyDescent="0.25">
      <c r="A5" t="s">
        <v>625</v>
      </c>
      <c r="B5" t="s">
        <v>548</v>
      </c>
      <c r="C5" t="s">
        <v>546</v>
      </c>
      <c r="D5">
        <f>_xlfn.XLOOKUP(A5,[1]StatGen!A:A,[1]StatGen!B:B)*M5</f>
        <v>0</v>
      </c>
      <c r="E5">
        <v>100</v>
      </c>
      <c r="F5" t="s">
        <v>547</v>
      </c>
      <c r="G5">
        <f t="shared" si="0"/>
        <v>0</v>
      </c>
      <c r="H5">
        <f t="shared" si="1"/>
        <v>0</v>
      </c>
      <c r="N5" s="2"/>
      <c r="P5" s="2"/>
      <c r="R5" s="2"/>
    </row>
    <row r="6" spans="1:18" x14ac:dyDescent="0.25">
      <c r="A6" t="s">
        <v>626</v>
      </c>
      <c r="B6" t="s">
        <v>548</v>
      </c>
      <c r="C6" t="s">
        <v>546</v>
      </c>
      <c r="D6">
        <f>_xlfn.XLOOKUP(A6,[1]StatGen!A:A,[1]StatGen!B:B)*M6</f>
        <v>0</v>
      </c>
      <c r="E6">
        <v>100</v>
      </c>
      <c r="F6" t="s">
        <v>547</v>
      </c>
      <c r="G6">
        <f t="shared" si="0"/>
        <v>0</v>
      </c>
      <c r="H6">
        <f t="shared" si="1"/>
        <v>0</v>
      </c>
      <c r="N6" s="2"/>
      <c r="P6" s="2"/>
      <c r="R6" s="2"/>
    </row>
    <row r="7" spans="1:18" x14ac:dyDescent="0.25">
      <c r="A7" t="s">
        <v>627</v>
      </c>
      <c r="B7" t="s">
        <v>548</v>
      </c>
      <c r="C7" t="s">
        <v>546</v>
      </c>
      <c r="D7">
        <f>_xlfn.XLOOKUP(A7,[1]StatGen!A:A,[1]StatGen!B:B)*M7</f>
        <v>0</v>
      </c>
      <c r="E7">
        <v>100</v>
      </c>
      <c r="F7" t="s">
        <v>547</v>
      </c>
      <c r="G7">
        <f t="shared" si="0"/>
        <v>0</v>
      </c>
      <c r="H7">
        <f t="shared" si="1"/>
        <v>0</v>
      </c>
      <c r="N7" s="2"/>
      <c r="P7" s="2"/>
    </row>
    <row r="8" spans="1:18" x14ac:dyDescent="0.25">
      <c r="A8" t="s">
        <v>628</v>
      </c>
      <c r="B8" t="s">
        <v>548</v>
      </c>
      <c r="C8" t="s">
        <v>546</v>
      </c>
      <c r="D8">
        <f>_xlfn.XLOOKUP(A8,[1]StatGen!A:A,[1]StatGen!B:B)*M8</f>
        <v>0</v>
      </c>
      <c r="E8">
        <v>100</v>
      </c>
      <c r="F8" t="s">
        <v>547</v>
      </c>
      <c r="G8">
        <f t="shared" si="0"/>
        <v>0</v>
      </c>
      <c r="H8">
        <f t="shared" si="1"/>
        <v>0</v>
      </c>
      <c r="N8" s="2"/>
      <c r="P8" s="2"/>
    </row>
    <row r="9" spans="1:18" x14ac:dyDescent="0.25">
      <c r="A9" t="s">
        <v>629</v>
      </c>
      <c r="B9" t="s">
        <v>548</v>
      </c>
      <c r="C9" t="s">
        <v>546</v>
      </c>
      <c r="D9">
        <f>_xlfn.XLOOKUP(A9,[1]StatGen!A:A,[1]StatGen!B:B)*M9</f>
        <v>0</v>
      </c>
      <c r="E9">
        <v>100</v>
      </c>
      <c r="F9" t="s">
        <v>547</v>
      </c>
      <c r="G9">
        <f t="shared" si="0"/>
        <v>0</v>
      </c>
      <c r="H9">
        <f t="shared" si="1"/>
        <v>0</v>
      </c>
      <c r="N9" s="2"/>
      <c r="P9" s="2"/>
    </row>
    <row r="10" spans="1:18" x14ac:dyDescent="0.25">
      <c r="A10" t="s">
        <v>631</v>
      </c>
      <c r="B10" t="s">
        <v>548</v>
      </c>
      <c r="C10" t="s">
        <v>546</v>
      </c>
      <c r="D10">
        <f>_xlfn.XLOOKUP(A10,[1]StatGen!A:A,[1]StatGen!B:B)*M10</f>
        <v>0</v>
      </c>
      <c r="E10">
        <v>101</v>
      </c>
      <c r="F10" t="s">
        <v>547</v>
      </c>
      <c r="G10">
        <f t="shared" ref="G10:G24" si="2">-E10*$I$2</f>
        <v>0</v>
      </c>
      <c r="H10">
        <f t="shared" ref="H10:H24" si="3">E10*$I$2</f>
        <v>0</v>
      </c>
      <c r="N10" s="2"/>
      <c r="P10" s="2"/>
    </row>
    <row r="11" spans="1:18" x14ac:dyDescent="0.25">
      <c r="A11" t="s">
        <v>633</v>
      </c>
      <c r="B11" t="s">
        <v>548</v>
      </c>
      <c r="C11" t="s">
        <v>546</v>
      </c>
      <c r="D11">
        <f>_xlfn.XLOOKUP(A11,[1]StatGen!A:A,[1]StatGen!B:B)*M11</f>
        <v>0</v>
      </c>
      <c r="E11">
        <v>102</v>
      </c>
      <c r="F11" t="s">
        <v>547</v>
      </c>
      <c r="G11">
        <f t="shared" si="2"/>
        <v>0</v>
      </c>
      <c r="H11">
        <f t="shared" si="3"/>
        <v>0</v>
      </c>
    </row>
    <row r="12" spans="1:18" x14ac:dyDescent="0.25">
      <c r="A12" t="s">
        <v>635</v>
      </c>
      <c r="B12" t="s">
        <v>548</v>
      </c>
      <c r="C12" t="s">
        <v>546</v>
      </c>
      <c r="D12">
        <f>_xlfn.XLOOKUP(A12,[1]StatGen!A:A,[1]StatGen!B:B)*M12</f>
        <v>0</v>
      </c>
      <c r="E12">
        <v>103</v>
      </c>
      <c r="F12" t="s">
        <v>547</v>
      </c>
      <c r="G12">
        <f t="shared" si="2"/>
        <v>0</v>
      </c>
      <c r="H12">
        <f t="shared" si="3"/>
        <v>0</v>
      </c>
    </row>
    <row r="13" spans="1:18" x14ac:dyDescent="0.25">
      <c r="A13" t="s">
        <v>636</v>
      </c>
      <c r="B13" t="s">
        <v>548</v>
      </c>
      <c r="C13" t="s">
        <v>546</v>
      </c>
      <c r="D13">
        <f>_xlfn.XLOOKUP(A13,[1]StatGen!A:A,[1]StatGen!B:B)*M13</f>
        <v>0</v>
      </c>
      <c r="E13">
        <v>104</v>
      </c>
      <c r="F13" t="s">
        <v>547</v>
      </c>
      <c r="G13">
        <f t="shared" si="2"/>
        <v>0</v>
      </c>
      <c r="H13">
        <f t="shared" si="3"/>
        <v>0</v>
      </c>
    </row>
    <row r="14" spans="1:18" x14ac:dyDescent="0.25">
      <c r="A14" t="s">
        <v>637</v>
      </c>
      <c r="B14" t="s">
        <v>548</v>
      </c>
      <c r="C14" t="s">
        <v>546</v>
      </c>
      <c r="D14">
        <f>_xlfn.XLOOKUP(A14,[1]StatGen!A:A,[1]StatGen!B:B)*M14</f>
        <v>0</v>
      </c>
      <c r="E14">
        <v>105</v>
      </c>
      <c r="F14" t="s">
        <v>547</v>
      </c>
      <c r="G14">
        <f t="shared" si="2"/>
        <v>0</v>
      </c>
      <c r="H14">
        <f t="shared" si="3"/>
        <v>0</v>
      </c>
    </row>
    <row r="15" spans="1:18" x14ac:dyDescent="0.25">
      <c r="A15" t="s">
        <v>638</v>
      </c>
      <c r="B15" t="s">
        <v>548</v>
      </c>
      <c r="C15" t="s">
        <v>546</v>
      </c>
      <c r="D15">
        <f>_xlfn.XLOOKUP(A15,[1]StatGen!A:A,[1]StatGen!B:B)*M15</f>
        <v>0</v>
      </c>
      <c r="E15">
        <v>106</v>
      </c>
      <c r="F15" t="s">
        <v>547</v>
      </c>
      <c r="G15">
        <f t="shared" si="2"/>
        <v>0</v>
      </c>
      <c r="H15">
        <f t="shared" si="3"/>
        <v>0</v>
      </c>
    </row>
    <row r="16" spans="1:18" x14ac:dyDescent="0.25">
      <c r="A16" t="s">
        <v>640</v>
      </c>
      <c r="B16" t="s">
        <v>548</v>
      </c>
      <c r="C16" t="s">
        <v>546</v>
      </c>
      <c r="D16">
        <f>_xlfn.XLOOKUP(A16,[1]StatGen!A:A,[1]StatGen!B:B)*M16</f>
        <v>0</v>
      </c>
      <c r="E16">
        <v>107</v>
      </c>
      <c r="F16" t="s">
        <v>547</v>
      </c>
      <c r="G16">
        <f t="shared" si="2"/>
        <v>0</v>
      </c>
      <c r="H16">
        <f t="shared" si="3"/>
        <v>0</v>
      </c>
    </row>
    <row r="17" spans="1:8" x14ac:dyDescent="0.25">
      <c r="A17" t="s">
        <v>641</v>
      </c>
      <c r="B17" t="s">
        <v>548</v>
      </c>
      <c r="C17" t="s">
        <v>546</v>
      </c>
      <c r="D17">
        <f>_xlfn.XLOOKUP(A17,[1]StatGen!A:A,[1]StatGen!B:B)*M17</f>
        <v>0</v>
      </c>
      <c r="E17">
        <v>108</v>
      </c>
      <c r="F17" t="s">
        <v>547</v>
      </c>
      <c r="G17">
        <f t="shared" si="2"/>
        <v>0</v>
      </c>
      <c r="H17">
        <f t="shared" si="3"/>
        <v>0</v>
      </c>
    </row>
    <row r="18" spans="1:8" x14ac:dyDescent="0.25">
      <c r="A18" t="s">
        <v>642</v>
      </c>
      <c r="B18" t="s">
        <v>548</v>
      </c>
      <c r="C18" t="s">
        <v>546</v>
      </c>
      <c r="D18">
        <f>_xlfn.XLOOKUP(A18,[1]StatGen!A:A,[1]StatGen!B:B)*M18</f>
        <v>0</v>
      </c>
      <c r="E18">
        <v>109</v>
      </c>
      <c r="F18" t="s">
        <v>547</v>
      </c>
      <c r="G18">
        <f t="shared" si="2"/>
        <v>0</v>
      </c>
      <c r="H18">
        <f t="shared" si="3"/>
        <v>0</v>
      </c>
    </row>
    <row r="19" spans="1:8" x14ac:dyDescent="0.25">
      <c r="A19" t="s">
        <v>643</v>
      </c>
      <c r="B19" t="s">
        <v>548</v>
      </c>
      <c r="C19" t="s">
        <v>546</v>
      </c>
      <c r="D19">
        <f>_xlfn.XLOOKUP(A19,[1]StatGen!A:A,[1]StatGen!B:B)*M19</f>
        <v>0</v>
      </c>
      <c r="E19">
        <v>110</v>
      </c>
      <c r="F19" t="s">
        <v>547</v>
      </c>
      <c r="G19">
        <f t="shared" si="2"/>
        <v>0</v>
      </c>
      <c r="H19">
        <f t="shared" si="3"/>
        <v>0</v>
      </c>
    </row>
    <row r="20" spans="1:8" x14ac:dyDescent="0.25">
      <c r="A20" t="s">
        <v>645</v>
      </c>
      <c r="B20" t="s">
        <v>548</v>
      </c>
      <c r="C20" t="s">
        <v>546</v>
      </c>
      <c r="D20">
        <f>_xlfn.XLOOKUP(A20,[1]StatGen!A:A,[1]StatGen!B:B)*M20</f>
        <v>0</v>
      </c>
      <c r="E20">
        <v>111</v>
      </c>
      <c r="F20" t="s">
        <v>547</v>
      </c>
      <c r="G20">
        <f t="shared" si="2"/>
        <v>0</v>
      </c>
      <c r="H20">
        <f t="shared" si="3"/>
        <v>0</v>
      </c>
    </row>
    <row r="21" spans="1:8" x14ac:dyDescent="0.25">
      <c r="A21" t="s">
        <v>646</v>
      </c>
      <c r="B21" t="s">
        <v>548</v>
      </c>
      <c r="C21" t="s">
        <v>546</v>
      </c>
      <c r="D21">
        <f>_xlfn.XLOOKUP(A21,[1]StatGen!A:A,[1]StatGen!B:B)*M21</f>
        <v>0</v>
      </c>
      <c r="E21">
        <v>112</v>
      </c>
      <c r="F21" t="s">
        <v>547</v>
      </c>
      <c r="G21">
        <f t="shared" si="2"/>
        <v>0</v>
      </c>
      <c r="H21">
        <f t="shared" si="3"/>
        <v>0</v>
      </c>
    </row>
    <row r="22" spans="1:8" x14ac:dyDescent="0.25">
      <c r="A22" t="s">
        <v>647</v>
      </c>
      <c r="B22" t="s">
        <v>548</v>
      </c>
      <c r="C22" t="s">
        <v>546</v>
      </c>
      <c r="D22">
        <f>_xlfn.XLOOKUP(A22,[1]StatGen!A:A,[1]StatGen!B:B)*M22</f>
        <v>0</v>
      </c>
      <c r="E22">
        <v>113</v>
      </c>
      <c r="F22" t="s">
        <v>547</v>
      </c>
      <c r="G22">
        <f t="shared" si="2"/>
        <v>0</v>
      </c>
      <c r="H22">
        <f t="shared" si="3"/>
        <v>0</v>
      </c>
    </row>
    <row r="23" spans="1:8" x14ac:dyDescent="0.25">
      <c r="A23" t="s">
        <v>648</v>
      </c>
      <c r="B23" t="s">
        <v>548</v>
      </c>
      <c r="C23" t="s">
        <v>546</v>
      </c>
      <c r="D23">
        <f>_xlfn.XLOOKUP(A23,[1]StatGen!A:A,[1]StatGen!B:B)*M23</f>
        <v>0</v>
      </c>
      <c r="E23">
        <v>114</v>
      </c>
      <c r="F23" t="s">
        <v>547</v>
      </c>
      <c r="G23">
        <f t="shared" si="2"/>
        <v>0</v>
      </c>
      <c r="H23">
        <f t="shared" si="3"/>
        <v>0</v>
      </c>
    </row>
    <row r="24" spans="1:8" x14ac:dyDescent="0.25">
      <c r="A24" t="s">
        <v>649</v>
      </c>
      <c r="B24" t="s">
        <v>548</v>
      </c>
      <c r="C24" t="s">
        <v>546</v>
      </c>
      <c r="D24">
        <f>_xlfn.XLOOKUP(A24,[1]StatGen!A:A,[1]StatGen!B:B)*M24</f>
        <v>0</v>
      </c>
      <c r="E24">
        <v>115</v>
      </c>
      <c r="F24" t="s">
        <v>547</v>
      </c>
      <c r="G24">
        <f t="shared" si="2"/>
        <v>0</v>
      </c>
      <c r="H24">
        <f t="shared" si="3"/>
        <v>0</v>
      </c>
    </row>
    <row r="25" spans="1:8" x14ac:dyDescent="0.25">
      <c r="A25" t="s">
        <v>650</v>
      </c>
      <c r="B25" t="s">
        <v>548</v>
      </c>
      <c r="C25" t="s">
        <v>546</v>
      </c>
      <c r="D25">
        <v>0</v>
      </c>
      <c r="E25">
        <v>121</v>
      </c>
      <c r="F25" t="s">
        <v>547</v>
      </c>
      <c r="G25">
        <f t="shared" ref="G25" si="4">-E25*$I$2</f>
        <v>0</v>
      </c>
      <c r="H25">
        <f t="shared" ref="H25" si="5">E25*$I$2</f>
        <v>0</v>
      </c>
    </row>
    <row r="26" spans="1:8" x14ac:dyDescent="0.25">
      <c r="A26" t="s">
        <v>651</v>
      </c>
      <c r="B26" t="s">
        <v>548</v>
      </c>
      <c r="C26" t="s">
        <v>546</v>
      </c>
      <c r="D26">
        <v>0</v>
      </c>
      <c r="E26">
        <v>122</v>
      </c>
      <c r="F26" t="s">
        <v>547</v>
      </c>
      <c r="G26">
        <f t="shared" ref="G26:G29" si="6">-E26*$I$2</f>
        <v>0</v>
      </c>
      <c r="H26">
        <f t="shared" ref="H26:H29" si="7">E26*$I$2</f>
        <v>0</v>
      </c>
    </row>
    <row r="27" spans="1:8" x14ac:dyDescent="0.25">
      <c r="A27" t="s">
        <v>652</v>
      </c>
      <c r="B27" t="s">
        <v>548</v>
      </c>
      <c r="C27" t="s">
        <v>546</v>
      </c>
      <c r="D27">
        <v>0</v>
      </c>
      <c r="E27">
        <v>123</v>
      </c>
      <c r="F27" t="s">
        <v>547</v>
      </c>
      <c r="G27">
        <f t="shared" si="6"/>
        <v>0</v>
      </c>
      <c r="H27">
        <f t="shared" si="7"/>
        <v>0</v>
      </c>
    </row>
    <row r="28" spans="1:8" x14ac:dyDescent="0.25">
      <c r="A28" t="s">
        <v>653</v>
      </c>
      <c r="B28" t="s">
        <v>548</v>
      </c>
      <c r="C28" t="s">
        <v>546</v>
      </c>
      <c r="D28">
        <v>0</v>
      </c>
      <c r="E28">
        <v>124</v>
      </c>
      <c r="F28" t="s">
        <v>547</v>
      </c>
      <c r="G28">
        <f t="shared" si="6"/>
        <v>0</v>
      </c>
      <c r="H28">
        <f t="shared" si="7"/>
        <v>0</v>
      </c>
    </row>
    <row r="29" spans="1:8" x14ac:dyDescent="0.25">
      <c r="A29" t="s">
        <v>654</v>
      </c>
      <c r="B29" t="s">
        <v>548</v>
      </c>
      <c r="C29" t="s">
        <v>546</v>
      </c>
      <c r="D29">
        <v>0</v>
      </c>
      <c r="E29">
        <v>125</v>
      </c>
      <c r="F29" t="s">
        <v>547</v>
      </c>
      <c r="G29">
        <f t="shared" si="6"/>
        <v>0</v>
      </c>
      <c r="H29">
        <f t="shared" si="7"/>
        <v>0</v>
      </c>
    </row>
    <row r="30" spans="1:8" x14ac:dyDescent="0.25">
      <c r="A30" t="s">
        <v>194</v>
      </c>
      <c r="B30" t="s">
        <v>549</v>
      </c>
      <c r="C30" t="s">
        <v>550</v>
      </c>
      <c r="D30">
        <f>_xlfn.XLOOKUP(A30,[1]Loads!A:A,[1]Loads!B:B)*M30</f>
        <v>0</v>
      </c>
      <c r="E30">
        <v>200</v>
      </c>
      <c r="F30" t="s">
        <v>551</v>
      </c>
      <c r="G30">
        <f t="shared" ref="G30" si="8">-E30*$I$2</f>
        <v>0</v>
      </c>
      <c r="H30">
        <f t="shared" ref="H30" si="9">E30*$I$2</f>
        <v>0</v>
      </c>
    </row>
    <row r="31" spans="1:8" x14ac:dyDescent="0.25">
      <c r="A31" t="s">
        <v>3</v>
      </c>
      <c r="B31" t="s">
        <v>549</v>
      </c>
      <c r="C31" t="s">
        <v>550</v>
      </c>
      <c r="D31">
        <f>_xlfn.XLOOKUP(A31,[1]Loads!A:A,[1]Loads!B:B)*M31</f>
        <v>0</v>
      </c>
      <c r="E31">
        <v>201</v>
      </c>
      <c r="F31" t="s">
        <v>551</v>
      </c>
      <c r="G31">
        <f t="shared" ref="G31:G94" si="10">-E31*$I$2</f>
        <v>0</v>
      </c>
      <c r="H31">
        <f t="shared" ref="H31:H94" si="11">E31*$I$2</f>
        <v>0</v>
      </c>
    </row>
    <row r="32" spans="1:8" x14ac:dyDescent="0.25">
      <c r="A32" t="s">
        <v>4</v>
      </c>
      <c r="B32" t="s">
        <v>549</v>
      </c>
      <c r="C32" t="s">
        <v>550</v>
      </c>
      <c r="D32">
        <f>_xlfn.XLOOKUP(A32,[1]Loads!A:A,[1]Loads!B:B)*M32</f>
        <v>0</v>
      </c>
      <c r="E32">
        <v>202</v>
      </c>
      <c r="F32" t="s">
        <v>551</v>
      </c>
      <c r="G32">
        <f t="shared" si="10"/>
        <v>0</v>
      </c>
      <c r="H32">
        <f t="shared" si="11"/>
        <v>0</v>
      </c>
    </row>
    <row r="33" spans="1:8" x14ac:dyDescent="0.25">
      <c r="A33" t="s">
        <v>5</v>
      </c>
      <c r="B33" t="s">
        <v>549</v>
      </c>
      <c r="C33" t="s">
        <v>550</v>
      </c>
      <c r="D33">
        <f>_xlfn.XLOOKUP(A33,[1]Loads!A:A,[1]Loads!B:B)*M33</f>
        <v>0</v>
      </c>
      <c r="E33">
        <v>203</v>
      </c>
      <c r="F33" t="s">
        <v>551</v>
      </c>
      <c r="G33">
        <f t="shared" si="10"/>
        <v>0</v>
      </c>
      <c r="H33">
        <f t="shared" si="11"/>
        <v>0</v>
      </c>
    </row>
    <row r="34" spans="1:8" x14ac:dyDescent="0.25">
      <c r="A34" t="s">
        <v>6</v>
      </c>
      <c r="B34" t="s">
        <v>549</v>
      </c>
      <c r="C34" t="s">
        <v>550</v>
      </c>
      <c r="D34">
        <f>_xlfn.XLOOKUP(A34,[1]Loads!A:A,[1]Loads!B:B)*M34</f>
        <v>0</v>
      </c>
      <c r="E34">
        <v>204</v>
      </c>
      <c r="F34" t="s">
        <v>551</v>
      </c>
      <c r="G34">
        <f t="shared" si="10"/>
        <v>0</v>
      </c>
      <c r="H34">
        <f t="shared" si="11"/>
        <v>0</v>
      </c>
    </row>
    <row r="35" spans="1:8" x14ac:dyDescent="0.25">
      <c r="A35" t="s">
        <v>7</v>
      </c>
      <c r="B35" t="s">
        <v>549</v>
      </c>
      <c r="C35" t="s">
        <v>550</v>
      </c>
      <c r="D35">
        <f>_xlfn.XLOOKUP(A35,[1]Loads!A:A,[1]Loads!B:B)*M35</f>
        <v>0</v>
      </c>
      <c r="E35">
        <v>205</v>
      </c>
      <c r="F35" t="s">
        <v>551</v>
      </c>
      <c r="G35">
        <f t="shared" si="10"/>
        <v>0</v>
      </c>
      <c r="H35">
        <f t="shared" si="11"/>
        <v>0</v>
      </c>
    </row>
    <row r="36" spans="1:8" x14ac:dyDescent="0.25">
      <c r="A36" t="s">
        <v>8</v>
      </c>
      <c r="B36" t="s">
        <v>549</v>
      </c>
      <c r="C36" t="s">
        <v>550</v>
      </c>
      <c r="D36">
        <f>_xlfn.XLOOKUP(A36,[1]Loads!A:A,[1]Loads!B:B)*M36</f>
        <v>0</v>
      </c>
      <c r="E36">
        <v>206</v>
      </c>
      <c r="F36" t="s">
        <v>551</v>
      </c>
      <c r="G36">
        <f t="shared" si="10"/>
        <v>0</v>
      </c>
      <c r="H36">
        <f t="shared" si="11"/>
        <v>0</v>
      </c>
    </row>
    <row r="37" spans="1:8" x14ac:dyDescent="0.25">
      <c r="A37" t="s">
        <v>9</v>
      </c>
      <c r="B37" t="s">
        <v>549</v>
      </c>
      <c r="C37" t="s">
        <v>550</v>
      </c>
      <c r="D37">
        <f>_xlfn.XLOOKUP(A37,[1]Loads!A:A,[1]Loads!B:B)*M37</f>
        <v>0</v>
      </c>
      <c r="E37">
        <v>207</v>
      </c>
      <c r="F37" t="s">
        <v>551</v>
      </c>
      <c r="G37">
        <f t="shared" si="10"/>
        <v>0</v>
      </c>
      <c r="H37">
        <f t="shared" si="11"/>
        <v>0</v>
      </c>
    </row>
    <row r="38" spans="1:8" x14ac:dyDescent="0.25">
      <c r="A38" t="s">
        <v>10</v>
      </c>
      <c r="B38" t="s">
        <v>549</v>
      </c>
      <c r="C38" t="s">
        <v>550</v>
      </c>
      <c r="D38">
        <f>_xlfn.XLOOKUP(A38,[1]Loads!A:A,[1]Loads!B:B)*M38</f>
        <v>0</v>
      </c>
      <c r="E38">
        <v>208</v>
      </c>
      <c r="F38" t="s">
        <v>551</v>
      </c>
      <c r="G38">
        <f t="shared" si="10"/>
        <v>0</v>
      </c>
      <c r="H38">
        <f t="shared" si="11"/>
        <v>0</v>
      </c>
    </row>
    <row r="39" spans="1:8" x14ac:dyDescent="0.25">
      <c r="A39" t="s">
        <v>11</v>
      </c>
      <c r="B39" t="s">
        <v>549</v>
      </c>
      <c r="C39" t="s">
        <v>550</v>
      </c>
      <c r="D39">
        <f>_xlfn.XLOOKUP(A39,[1]Loads!A:A,[1]Loads!B:B)*M39</f>
        <v>0</v>
      </c>
      <c r="E39">
        <v>209</v>
      </c>
      <c r="F39" t="s">
        <v>551</v>
      </c>
      <c r="G39">
        <f t="shared" si="10"/>
        <v>0</v>
      </c>
      <c r="H39">
        <f t="shared" si="11"/>
        <v>0</v>
      </c>
    </row>
    <row r="40" spans="1:8" x14ac:dyDescent="0.25">
      <c r="A40" t="s">
        <v>12</v>
      </c>
      <c r="B40" t="s">
        <v>549</v>
      </c>
      <c r="C40" t="s">
        <v>550</v>
      </c>
      <c r="D40">
        <f>_xlfn.XLOOKUP(A40,[1]Loads!A:A,[1]Loads!B:B)*M40</f>
        <v>0</v>
      </c>
      <c r="E40">
        <v>210</v>
      </c>
      <c r="F40" t="s">
        <v>551</v>
      </c>
      <c r="G40">
        <f t="shared" si="10"/>
        <v>0</v>
      </c>
      <c r="H40">
        <f t="shared" si="11"/>
        <v>0</v>
      </c>
    </row>
    <row r="41" spans="1:8" x14ac:dyDescent="0.25">
      <c r="A41" t="s">
        <v>13</v>
      </c>
      <c r="B41" t="s">
        <v>549</v>
      </c>
      <c r="C41" t="s">
        <v>550</v>
      </c>
      <c r="D41">
        <f>_xlfn.XLOOKUP(A41,[1]Loads!A:A,[1]Loads!B:B)*M41</f>
        <v>0</v>
      </c>
      <c r="E41">
        <v>211</v>
      </c>
      <c r="F41" t="s">
        <v>551</v>
      </c>
      <c r="G41">
        <f t="shared" si="10"/>
        <v>0</v>
      </c>
      <c r="H41">
        <f t="shared" si="11"/>
        <v>0</v>
      </c>
    </row>
    <row r="42" spans="1:8" x14ac:dyDescent="0.25">
      <c r="A42" t="s">
        <v>14</v>
      </c>
      <c r="B42" t="s">
        <v>549</v>
      </c>
      <c r="C42" t="s">
        <v>550</v>
      </c>
      <c r="D42">
        <f>_xlfn.XLOOKUP(A42,[1]Loads!A:A,[1]Loads!B:B)*M42</f>
        <v>0</v>
      </c>
      <c r="E42">
        <v>212</v>
      </c>
      <c r="F42" t="s">
        <v>551</v>
      </c>
      <c r="G42">
        <f t="shared" si="10"/>
        <v>0</v>
      </c>
      <c r="H42">
        <f t="shared" si="11"/>
        <v>0</v>
      </c>
    </row>
    <row r="43" spans="1:8" x14ac:dyDescent="0.25">
      <c r="A43" t="s">
        <v>15</v>
      </c>
      <c r="B43" t="s">
        <v>549</v>
      </c>
      <c r="C43" t="s">
        <v>550</v>
      </c>
      <c r="D43">
        <f>_xlfn.XLOOKUP(A43,[1]Loads!A:A,[1]Loads!B:B)*M43</f>
        <v>0</v>
      </c>
      <c r="E43">
        <v>213</v>
      </c>
      <c r="F43" t="s">
        <v>551</v>
      </c>
      <c r="G43">
        <f t="shared" si="10"/>
        <v>0</v>
      </c>
      <c r="H43">
        <f t="shared" si="11"/>
        <v>0</v>
      </c>
    </row>
    <row r="44" spans="1:8" x14ac:dyDescent="0.25">
      <c r="A44" t="s">
        <v>16</v>
      </c>
      <c r="B44" t="s">
        <v>549</v>
      </c>
      <c r="C44" t="s">
        <v>550</v>
      </c>
      <c r="D44">
        <f>_xlfn.XLOOKUP(A44,[1]Loads!A:A,[1]Loads!B:B)*M44</f>
        <v>0</v>
      </c>
      <c r="E44">
        <v>214</v>
      </c>
      <c r="F44" t="s">
        <v>551</v>
      </c>
      <c r="G44">
        <f t="shared" si="10"/>
        <v>0</v>
      </c>
      <c r="H44">
        <f t="shared" si="11"/>
        <v>0</v>
      </c>
    </row>
    <row r="45" spans="1:8" x14ac:dyDescent="0.25">
      <c r="A45" t="s">
        <v>25</v>
      </c>
      <c r="B45" t="s">
        <v>549</v>
      </c>
      <c r="C45" t="s">
        <v>550</v>
      </c>
      <c r="D45">
        <f>_xlfn.XLOOKUP(A45,[1]Loads!A:A,[1]Loads!B:B)*M45</f>
        <v>0</v>
      </c>
      <c r="E45">
        <v>215</v>
      </c>
      <c r="F45" t="s">
        <v>551</v>
      </c>
      <c r="G45">
        <f t="shared" si="10"/>
        <v>0</v>
      </c>
      <c r="H45">
        <f t="shared" si="11"/>
        <v>0</v>
      </c>
    </row>
    <row r="46" spans="1:8" x14ac:dyDescent="0.25">
      <c r="A46" t="s">
        <v>31</v>
      </c>
      <c r="B46" t="s">
        <v>549</v>
      </c>
      <c r="C46" t="s">
        <v>550</v>
      </c>
      <c r="D46">
        <f>_xlfn.XLOOKUP(A46,[1]Loads!A:A,[1]Loads!B:B)*M46</f>
        <v>0</v>
      </c>
      <c r="E46">
        <v>216</v>
      </c>
      <c r="F46" t="s">
        <v>551</v>
      </c>
      <c r="G46">
        <f t="shared" si="10"/>
        <v>0</v>
      </c>
      <c r="H46">
        <f t="shared" si="11"/>
        <v>0</v>
      </c>
    </row>
    <row r="47" spans="1:8" x14ac:dyDescent="0.25">
      <c r="A47" t="s">
        <v>36</v>
      </c>
      <c r="B47" t="s">
        <v>549</v>
      </c>
      <c r="C47" t="s">
        <v>550</v>
      </c>
      <c r="D47">
        <f>_xlfn.XLOOKUP(A47,[1]Loads!A:A,[1]Loads!B:B)*M47</f>
        <v>0</v>
      </c>
      <c r="E47">
        <v>217</v>
      </c>
      <c r="F47" t="s">
        <v>551</v>
      </c>
      <c r="G47">
        <f t="shared" si="10"/>
        <v>0</v>
      </c>
      <c r="H47">
        <f t="shared" si="11"/>
        <v>0</v>
      </c>
    </row>
    <row r="48" spans="1:8" x14ac:dyDescent="0.25">
      <c r="A48" t="s">
        <v>39</v>
      </c>
      <c r="B48" t="s">
        <v>549</v>
      </c>
      <c r="C48" t="s">
        <v>550</v>
      </c>
      <c r="D48">
        <f>_xlfn.XLOOKUP(A48,[1]Loads!A:A,[1]Loads!B:B)*M48</f>
        <v>0</v>
      </c>
      <c r="E48">
        <v>218</v>
      </c>
      <c r="F48" t="s">
        <v>551</v>
      </c>
      <c r="G48">
        <f t="shared" si="10"/>
        <v>0</v>
      </c>
      <c r="H48">
        <f t="shared" si="11"/>
        <v>0</v>
      </c>
    </row>
    <row r="49" spans="1:8" x14ac:dyDescent="0.25">
      <c r="A49" t="s">
        <v>46</v>
      </c>
      <c r="B49" t="s">
        <v>549</v>
      </c>
      <c r="C49" t="s">
        <v>550</v>
      </c>
      <c r="D49">
        <f>_xlfn.XLOOKUP(A49,[1]Loads!A:A,[1]Loads!B:B)*M49</f>
        <v>0</v>
      </c>
      <c r="E49">
        <v>219</v>
      </c>
      <c r="F49" t="s">
        <v>551</v>
      </c>
      <c r="G49">
        <f t="shared" si="10"/>
        <v>0</v>
      </c>
      <c r="H49">
        <f t="shared" si="11"/>
        <v>0</v>
      </c>
    </row>
    <row r="50" spans="1:8" x14ac:dyDescent="0.25">
      <c r="A50" t="s">
        <v>50</v>
      </c>
      <c r="B50" t="s">
        <v>549</v>
      </c>
      <c r="C50" t="s">
        <v>550</v>
      </c>
      <c r="D50">
        <f>_xlfn.XLOOKUP(A50,[1]Loads!A:A,[1]Loads!B:B)*M50</f>
        <v>0</v>
      </c>
      <c r="E50">
        <v>220</v>
      </c>
      <c r="F50" t="s">
        <v>551</v>
      </c>
      <c r="G50">
        <f t="shared" si="10"/>
        <v>0</v>
      </c>
      <c r="H50">
        <f t="shared" si="11"/>
        <v>0</v>
      </c>
    </row>
    <row r="51" spans="1:8" x14ac:dyDescent="0.25">
      <c r="A51" t="s">
        <v>58</v>
      </c>
      <c r="B51" t="s">
        <v>549</v>
      </c>
      <c r="C51" t="s">
        <v>550</v>
      </c>
      <c r="D51">
        <f>_xlfn.XLOOKUP(A51,[1]Loads!A:A,[1]Loads!B:B)*M51</f>
        <v>0</v>
      </c>
      <c r="E51">
        <v>221</v>
      </c>
      <c r="F51" t="s">
        <v>551</v>
      </c>
      <c r="G51">
        <f t="shared" si="10"/>
        <v>0</v>
      </c>
      <c r="H51">
        <f t="shared" si="11"/>
        <v>0</v>
      </c>
    </row>
    <row r="52" spans="1:8" x14ac:dyDescent="0.25">
      <c r="A52" t="s">
        <v>67</v>
      </c>
      <c r="B52" t="s">
        <v>549</v>
      </c>
      <c r="C52" t="s">
        <v>550</v>
      </c>
      <c r="D52">
        <f>_xlfn.XLOOKUP(A52,[1]Loads!A:A,[1]Loads!B:B)*M52</f>
        <v>0</v>
      </c>
      <c r="E52">
        <v>222</v>
      </c>
      <c r="F52" t="s">
        <v>551</v>
      </c>
      <c r="G52">
        <f t="shared" si="10"/>
        <v>0</v>
      </c>
      <c r="H52">
        <f t="shared" si="11"/>
        <v>0</v>
      </c>
    </row>
    <row r="53" spans="1:8" x14ac:dyDescent="0.25">
      <c r="A53" t="s">
        <v>74</v>
      </c>
      <c r="B53" t="s">
        <v>549</v>
      </c>
      <c r="C53" t="s">
        <v>550</v>
      </c>
      <c r="D53">
        <f>_xlfn.XLOOKUP(A53,[1]Loads!A:A,[1]Loads!B:B)*M53</f>
        <v>0</v>
      </c>
      <c r="E53">
        <v>223</v>
      </c>
      <c r="F53" t="s">
        <v>551</v>
      </c>
      <c r="G53">
        <f t="shared" si="10"/>
        <v>0</v>
      </c>
      <c r="H53">
        <f t="shared" si="11"/>
        <v>0</v>
      </c>
    </row>
    <row r="54" spans="1:8" x14ac:dyDescent="0.25">
      <c r="A54" t="s">
        <v>75</v>
      </c>
      <c r="B54" t="s">
        <v>549</v>
      </c>
      <c r="C54" t="s">
        <v>550</v>
      </c>
      <c r="D54">
        <f>_xlfn.XLOOKUP(A54,[1]Loads!A:A,[1]Loads!B:B)*M54</f>
        <v>0</v>
      </c>
      <c r="E54">
        <v>224</v>
      </c>
      <c r="F54" t="s">
        <v>551</v>
      </c>
      <c r="G54">
        <f t="shared" si="10"/>
        <v>0</v>
      </c>
      <c r="H54">
        <f t="shared" si="11"/>
        <v>0</v>
      </c>
    </row>
    <row r="55" spans="1:8" x14ac:dyDescent="0.25">
      <c r="A55" t="s">
        <v>77</v>
      </c>
      <c r="B55" t="s">
        <v>549</v>
      </c>
      <c r="C55" t="s">
        <v>550</v>
      </c>
      <c r="D55">
        <f>_xlfn.XLOOKUP(A55,[1]Loads!A:A,[1]Loads!B:B)*M55</f>
        <v>0</v>
      </c>
      <c r="E55">
        <v>225</v>
      </c>
      <c r="F55" t="s">
        <v>551</v>
      </c>
      <c r="G55">
        <f t="shared" si="10"/>
        <v>0</v>
      </c>
      <c r="H55">
        <f t="shared" si="11"/>
        <v>0</v>
      </c>
    </row>
    <row r="56" spans="1:8" x14ac:dyDescent="0.25">
      <c r="A56" t="s">
        <v>83</v>
      </c>
      <c r="B56" t="s">
        <v>549</v>
      </c>
      <c r="C56" t="s">
        <v>550</v>
      </c>
      <c r="D56">
        <f>_xlfn.XLOOKUP(A56,[1]Loads!A:A,[1]Loads!B:B)*M56</f>
        <v>0</v>
      </c>
      <c r="E56">
        <v>226</v>
      </c>
      <c r="F56" t="s">
        <v>551</v>
      </c>
      <c r="G56">
        <f t="shared" si="10"/>
        <v>0</v>
      </c>
      <c r="H56">
        <f t="shared" si="11"/>
        <v>0</v>
      </c>
    </row>
    <row r="57" spans="1:8" x14ac:dyDescent="0.25">
      <c r="A57" t="s">
        <v>86</v>
      </c>
      <c r="B57" t="s">
        <v>549</v>
      </c>
      <c r="C57" t="s">
        <v>550</v>
      </c>
      <c r="D57">
        <f>_xlfn.XLOOKUP(A57,[1]Loads!A:A,[1]Loads!B:B)*M57</f>
        <v>0</v>
      </c>
      <c r="E57">
        <v>227</v>
      </c>
      <c r="F57" t="s">
        <v>551</v>
      </c>
      <c r="G57">
        <f t="shared" si="10"/>
        <v>0</v>
      </c>
      <c r="H57">
        <f t="shared" si="11"/>
        <v>0</v>
      </c>
    </row>
    <row r="58" spans="1:8" x14ac:dyDescent="0.25">
      <c r="A58" t="s">
        <v>93</v>
      </c>
      <c r="B58" t="s">
        <v>549</v>
      </c>
      <c r="C58" t="s">
        <v>550</v>
      </c>
      <c r="D58">
        <f>_xlfn.XLOOKUP(A58,[1]Loads!A:A,[1]Loads!B:B)*M58</f>
        <v>0</v>
      </c>
      <c r="E58">
        <v>228</v>
      </c>
      <c r="F58" t="s">
        <v>551</v>
      </c>
      <c r="G58">
        <f t="shared" si="10"/>
        <v>0</v>
      </c>
      <c r="H58">
        <f t="shared" si="11"/>
        <v>0</v>
      </c>
    </row>
    <row r="59" spans="1:8" x14ac:dyDescent="0.25">
      <c r="A59" t="s">
        <v>103</v>
      </c>
      <c r="B59" t="s">
        <v>549</v>
      </c>
      <c r="C59" t="s">
        <v>550</v>
      </c>
      <c r="D59">
        <f>_xlfn.XLOOKUP(A59,[1]Loads!A:A,[1]Loads!B:B)*M59</f>
        <v>0</v>
      </c>
      <c r="E59">
        <v>229</v>
      </c>
      <c r="F59" t="s">
        <v>551</v>
      </c>
      <c r="G59">
        <f t="shared" si="10"/>
        <v>0</v>
      </c>
      <c r="H59">
        <f t="shared" si="11"/>
        <v>0</v>
      </c>
    </row>
    <row r="60" spans="1:8" x14ac:dyDescent="0.25">
      <c r="A60" t="s">
        <v>109</v>
      </c>
      <c r="B60" t="s">
        <v>549</v>
      </c>
      <c r="C60" t="s">
        <v>550</v>
      </c>
      <c r="D60">
        <f>_xlfn.XLOOKUP(A60,[1]Loads!A:A,[1]Loads!B:B)*M60</f>
        <v>0</v>
      </c>
      <c r="E60">
        <v>230</v>
      </c>
      <c r="F60" t="s">
        <v>551</v>
      </c>
      <c r="G60">
        <f t="shared" si="10"/>
        <v>0</v>
      </c>
      <c r="H60">
        <f t="shared" si="11"/>
        <v>0</v>
      </c>
    </row>
    <row r="61" spans="1:8" x14ac:dyDescent="0.25">
      <c r="A61" t="s">
        <v>115</v>
      </c>
      <c r="B61" t="s">
        <v>549</v>
      </c>
      <c r="C61" t="s">
        <v>550</v>
      </c>
      <c r="D61">
        <f>_xlfn.XLOOKUP(A61,[1]Loads!A:A,[1]Loads!B:B)*M61</f>
        <v>0</v>
      </c>
      <c r="E61">
        <v>231</v>
      </c>
      <c r="F61" t="s">
        <v>551</v>
      </c>
      <c r="G61">
        <f t="shared" si="10"/>
        <v>0</v>
      </c>
      <c r="H61">
        <f t="shared" si="11"/>
        <v>0</v>
      </c>
    </row>
    <row r="62" spans="1:8" x14ac:dyDescent="0.25">
      <c r="A62" t="s">
        <v>116</v>
      </c>
      <c r="B62" t="s">
        <v>549</v>
      </c>
      <c r="C62" t="s">
        <v>550</v>
      </c>
      <c r="D62">
        <f>_xlfn.XLOOKUP(A62,[1]Loads!A:A,[1]Loads!B:B)*M62</f>
        <v>0</v>
      </c>
      <c r="E62">
        <v>232</v>
      </c>
      <c r="F62" t="s">
        <v>551</v>
      </c>
      <c r="G62">
        <f t="shared" si="10"/>
        <v>0</v>
      </c>
      <c r="H62">
        <f t="shared" si="11"/>
        <v>0</v>
      </c>
    </row>
    <row r="63" spans="1:8" x14ac:dyDescent="0.25">
      <c r="A63" t="s">
        <v>117</v>
      </c>
      <c r="B63" t="s">
        <v>549</v>
      </c>
      <c r="C63" t="s">
        <v>550</v>
      </c>
      <c r="D63">
        <f>_xlfn.XLOOKUP(A63,[1]Loads!A:A,[1]Loads!B:B)*M63</f>
        <v>0</v>
      </c>
      <c r="E63">
        <v>233</v>
      </c>
      <c r="F63" t="s">
        <v>551</v>
      </c>
      <c r="G63">
        <f t="shared" si="10"/>
        <v>0</v>
      </c>
      <c r="H63">
        <f t="shared" si="11"/>
        <v>0</v>
      </c>
    </row>
    <row r="64" spans="1:8" x14ac:dyDescent="0.25">
      <c r="A64" t="s">
        <v>119</v>
      </c>
      <c r="B64" t="s">
        <v>549</v>
      </c>
      <c r="C64" t="s">
        <v>550</v>
      </c>
      <c r="D64">
        <f>_xlfn.XLOOKUP(A64,[1]Loads!A:A,[1]Loads!B:B)*M64</f>
        <v>0</v>
      </c>
      <c r="E64">
        <v>234</v>
      </c>
      <c r="F64" t="s">
        <v>551</v>
      </c>
      <c r="G64">
        <f t="shared" si="10"/>
        <v>0</v>
      </c>
      <c r="H64">
        <f t="shared" si="11"/>
        <v>0</v>
      </c>
    </row>
    <row r="65" spans="1:8" x14ac:dyDescent="0.25">
      <c r="A65" t="s">
        <v>120</v>
      </c>
      <c r="B65" t="s">
        <v>549</v>
      </c>
      <c r="C65" t="s">
        <v>550</v>
      </c>
      <c r="D65">
        <f>_xlfn.XLOOKUP(A65,[1]Loads!A:A,[1]Loads!B:B)*M65</f>
        <v>0</v>
      </c>
      <c r="E65">
        <v>235</v>
      </c>
      <c r="F65" t="s">
        <v>551</v>
      </c>
      <c r="G65">
        <f t="shared" si="10"/>
        <v>0</v>
      </c>
      <c r="H65">
        <f t="shared" si="11"/>
        <v>0</v>
      </c>
    </row>
    <row r="66" spans="1:8" x14ac:dyDescent="0.25">
      <c r="A66" t="s">
        <v>121</v>
      </c>
      <c r="B66" t="s">
        <v>549</v>
      </c>
      <c r="C66" t="s">
        <v>550</v>
      </c>
      <c r="D66">
        <f>_xlfn.XLOOKUP(A66,[1]Loads!A:A,[1]Loads!B:B)*M66</f>
        <v>0</v>
      </c>
      <c r="E66">
        <v>236</v>
      </c>
      <c r="F66" t="s">
        <v>551</v>
      </c>
      <c r="G66">
        <f t="shared" si="10"/>
        <v>0</v>
      </c>
      <c r="H66">
        <f t="shared" si="11"/>
        <v>0</v>
      </c>
    </row>
    <row r="67" spans="1:8" x14ac:dyDescent="0.25">
      <c r="A67" t="s">
        <v>122</v>
      </c>
      <c r="B67" t="s">
        <v>549</v>
      </c>
      <c r="C67" t="s">
        <v>550</v>
      </c>
      <c r="D67">
        <f>_xlfn.XLOOKUP(A67,[1]Loads!A:A,[1]Loads!B:B)*M67</f>
        <v>0</v>
      </c>
      <c r="E67">
        <v>237</v>
      </c>
      <c r="F67" t="s">
        <v>551</v>
      </c>
      <c r="G67">
        <f t="shared" si="10"/>
        <v>0</v>
      </c>
      <c r="H67">
        <f t="shared" si="11"/>
        <v>0</v>
      </c>
    </row>
    <row r="68" spans="1:8" x14ac:dyDescent="0.25">
      <c r="A68" t="s">
        <v>123</v>
      </c>
      <c r="B68" t="s">
        <v>549</v>
      </c>
      <c r="C68" t="s">
        <v>550</v>
      </c>
      <c r="D68">
        <f>_xlfn.XLOOKUP(A68,[1]Loads!A:A,[1]Loads!B:B)*M68</f>
        <v>0</v>
      </c>
      <c r="E68">
        <v>238</v>
      </c>
      <c r="F68" t="s">
        <v>551</v>
      </c>
      <c r="G68">
        <f t="shared" si="10"/>
        <v>0</v>
      </c>
      <c r="H68">
        <f t="shared" si="11"/>
        <v>0</v>
      </c>
    </row>
    <row r="69" spans="1:8" x14ac:dyDescent="0.25">
      <c r="A69" t="s">
        <v>124</v>
      </c>
      <c r="B69" t="s">
        <v>549</v>
      </c>
      <c r="C69" t="s">
        <v>550</v>
      </c>
      <c r="D69">
        <f>_xlfn.XLOOKUP(A69,[1]Loads!A:A,[1]Loads!B:B)*M69</f>
        <v>0</v>
      </c>
      <c r="E69">
        <v>239</v>
      </c>
      <c r="F69" t="s">
        <v>551</v>
      </c>
      <c r="G69">
        <f t="shared" si="10"/>
        <v>0</v>
      </c>
      <c r="H69">
        <f t="shared" si="11"/>
        <v>0</v>
      </c>
    </row>
    <row r="70" spans="1:8" x14ac:dyDescent="0.25">
      <c r="A70" t="s">
        <v>125</v>
      </c>
      <c r="B70" t="s">
        <v>549</v>
      </c>
      <c r="C70" t="s">
        <v>550</v>
      </c>
      <c r="D70">
        <f>_xlfn.XLOOKUP(A70,[1]Loads!A:A,[1]Loads!B:B)*M70</f>
        <v>0</v>
      </c>
      <c r="E70">
        <v>240</v>
      </c>
      <c r="F70" t="s">
        <v>551</v>
      </c>
      <c r="G70">
        <f t="shared" si="10"/>
        <v>0</v>
      </c>
      <c r="H70">
        <f t="shared" si="11"/>
        <v>0</v>
      </c>
    </row>
    <row r="71" spans="1:8" x14ac:dyDescent="0.25">
      <c r="A71" t="s">
        <v>126</v>
      </c>
      <c r="B71" t="s">
        <v>549</v>
      </c>
      <c r="C71" t="s">
        <v>550</v>
      </c>
      <c r="D71">
        <f>_xlfn.XLOOKUP(A71,[1]Loads!A:A,[1]Loads!B:B)*M71</f>
        <v>0</v>
      </c>
      <c r="E71">
        <v>241</v>
      </c>
      <c r="F71" t="s">
        <v>551</v>
      </c>
      <c r="G71">
        <f t="shared" si="10"/>
        <v>0</v>
      </c>
      <c r="H71">
        <f t="shared" si="11"/>
        <v>0</v>
      </c>
    </row>
    <row r="72" spans="1:8" x14ac:dyDescent="0.25">
      <c r="A72" t="s">
        <v>127</v>
      </c>
      <c r="B72" t="s">
        <v>549</v>
      </c>
      <c r="C72" t="s">
        <v>550</v>
      </c>
      <c r="D72">
        <f>_xlfn.XLOOKUP(A72,[1]Loads!A:A,[1]Loads!B:B)*M72</f>
        <v>0</v>
      </c>
      <c r="E72">
        <v>242</v>
      </c>
      <c r="F72" t="s">
        <v>551</v>
      </c>
      <c r="G72">
        <f t="shared" si="10"/>
        <v>0</v>
      </c>
      <c r="H72">
        <f t="shared" si="11"/>
        <v>0</v>
      </c>
    </row>
    <row r="73" spans="1:8" x14ac:dyDescent="0.25">
      <c r="A73" t="s">
        <v>128</v>
      </c>
      <c r="B73" t="s">
        <v>549</v>
      </c>
      <c r="C73" t="s">
        <v>550</v>
      </c>
      <c r="D73">
        <f>_xlfn.XLOOKUP(A73,[1]Loads!A:A,[1]Loads!B:B)*M73</f>
        <v>0</v>
      </c>
      <c r="E73">
        <v>243</v>
      </c>
      <c r="F73" t="s">
        <v>551</v>
      </c>
      <c r="G73">
        <f t="shared" si="10"/>
        <v>0</v>
      </c>
      <c r="H73">
        <f t="shared" si="11"/>
        <v>0</v>
      </c>
    </row>
    <row r="74" spans="1:8" x14ac:dyDescent="0.25">
      <c r="A74" t="s">
        <v>129</v>
      </c>
      <c r="B74" t="s">
        <v>549</v>
      </c>
      <c r="C74" t="s">
        <v>550</v>
      </c>
      <c r="D74">
        <f>_xlfn.XLOOKUP(A74,[1]Loads!A:A,[1]Loads!B:B)*M74</f>
        <v>0</v>
      </c>
      <c r="E74">
        <v>244</v>
      </c>
      <c r="F74" t="s">
        <v>551</v>
      </c>
      <c r="G74">
        <f t="shared" si="10"/>
        <v>0</v>
      </c>
      <c r="H74">
        <f t="shared" si="11"/>
        <v>0</v>
      </c>
    </row>
    <row r="75" spans="1:8" x14ac:dyDescent="0.25">
      <c r="A75" t="s">
        <v>130</v>
      </c>
      <c r="B75" t="s">
        <v>549</v>
      </c>
      <c r="C75" t="s">
        <v>550</v>
      </c>
      <c r="D75">
        <f>_xlfn.XLOOKUP(A75,[1]Loads!A:A,[1]Loads!B:B)*M75</f>
        <v>0</v>
      </c>
      <c r="E75">
        <v>245</v>
      </c>
      <c r="F75" t="s">
        <v>551</v>
      </c>
      <c r="G75">
        <f t="shared" si="10"/>
        <v>0</v>
      </c>
      <c r="H75">
        <f t="shared" si="11"/>
        <v>0</v>
      </c>
    </row>
    <row r="76" spans="1:8" x14ac:dyDescent="0.25">
      <c r="A76" t="s">
        <v>131</v>
      </c>
      <c r="B76" t="s">
        <v>549</v>
      </c>
      <c r="C76" t="s">
        <v>550</v>
      </c>
      <c r="D76">
        <f>_xlfn.XLOOKUP(A76,[1]Loads!A:A,[1]Loads!B:B)*M76</f>
        <v>0</v>
      </c>
      <c r="E76">
        <v>246</v>
      </c>
      <c r="F76" t="s">
        <v>551</v>
      </c>
      <c r="G76">
        <f t="shared" si="10"/>
        <v>0</v>
      </c>
      <c r="H76">
        <f t="shared" si="11"/>
        <v>0</v>
      </c>
    </row>
    <row r="77" spans="1:8" x14ac:dyDescent="0.25">
      <c r="A77" t="s">
        <v>132</v>
      </c>
      <c r="B77" t="s">
        <v>549</v>
      </c>
      <c r="C77" t="s">
        <v>550</v>
      </c>
      <c r="D77">
        <f>_xlfn.XLOOKUP(A77,[1]Loads!A:A,[1]Loads!B:B)*M77</f>
        <v>0</v>
      </c>
      <c r="E77">
        <v>247</v>
      </c>
      <c r="F77" t="s">
        <v>551</v>
      </c>
      <c r="G77">
        <f t="shared" si="10"/>
        <v>0</v>
      </c>
      <c r="H77">
        <f t="shared" si="11"/>
        <v>0</v>
      </c>
    </row>
    <row r="78" spans="1:8" x14ac:dyDescent="0.25">
      <c r="A78" t="s">
        <v>133</v>
      </c>
      <c r="B78" t="s">
        <v>549</v>
      </c>
      <c r="C78" t="s">
        <v>550</v>
      </c>
      <c r="D78">
        <f>_xlfn.XLOOKUP(A78,[1]Loads!A:A,[1]Loads!B:B)*M78</f>
        <v>0</v>
      </c>
      <c r="E78">
        <v>248</v>
      </c>
      <c r="F78" t="s">
        <v>551</v>
      </c>
      <c r="G78">
        <f t="shared" si="10"/>
        <v>0</v>
      </c>
      <c r="H78">
        <f t="shared" si="11"/>
        <v>0</v>
      </c>
    </row>
    <row r="79" spans="1:8" x14ac:dyDescent="0.25">
      <c r="A79" t="s">
        <v>134</v>
      </c>
      <c r="B79" t="s">
        <v>549</v>
      </c>
      <c r="C79" t="s">
        <v>550</v>
      </c>
      <c r="D79">
        <f>_xlfn.XLOOKUP(A79,[1]Loads!A:A,[1]Loads!B:B)*M79</f>
        <v>0</v>
      </c>
      <c r="E79">
        <v>249</v>
      </c>
      <c r="F79" t="s">
        <v>551</v>
      </c>
      <c r="G79">
        <f t="shared" si="10"/>
        <v>0</v>
      </c>
      <c r="H79">
        <f t="shared" si="11"/>
        <v>0</v>
      </c>
    </row>
    <row r="80" spans="1:8" x14ac:dyDescent="0.25">
      <c r="A80" t="s">
        <v>135</v>
      </c>
      <c r="B80" t="s">
        <v>549</v>
      </c>
      <c r="C80" t="s">
        <v>550</v>
      </c>
      <c r="D80">
        <f>_xlfn.XLOOKUP(A80,[1]Loads!A:A,[1]Loads!B:B)*M80</f>
        <v>0</v>
      </c>
      <c r="E80">
        <v>250</v>
      </c>
      <c r="F80" t="s">
        <v>551</v>
      </c>
      <c r="G80">
        <f t="shared" si="10"/>
        <v>0</v>
      </c>
      <c r="H80">
        <f t="shared" si="11"/>
        <v>0</v>
      </c>
    </row>
    <row r="81" spans="1:8" x14ac:dyDescent="0.25">
      <c r="A81" t="s">
        <v>136</v>
      </c>
      <c r="B81" t="s">
        <v>549</v>
      </c>
      <c r="C81" t="s">
        <v>550</v>
      </c>
      <c r="D81">
        <f>_xlfn.XLOOKUP(A81,[1]Loads!A:A,[1]Loads!B:B)*M81</f>
        <v>0</v>
      </c>
      <c r="E81">
        <v>251</v>
      </c>
      <c r="F81" t="s">
        <v>551</v>
      </c>
      <c r="G81">
        <f t="shared" si="10"/>
        <v>0</v>
      </c>
      <c r="H81">
        <f t="shared" si="11"/>
        <v>0</v>
      </c>
    </row>
    <row r="82" spans="1:8" x14ac:dyDescent="0.25">
      <c r="A82" t="s">
        <v>137</v>
      </c>
      <c r="B82" t="s">
        <v>549</v>
      </c>
      <c r="C82" t="s">
        <v>550</v>
      </c>
      <c r="D82">
        <f>_xlfn.XLOOKUP(A82,[1]Loads!A:A,[1]Loads!B:B)*M82</f>
        <v>0</v>
      </c>
      <c r="E82">
        <v>252</v>
      </c>
      <c r="F82" t="s">
        <v>551</v>
      </c>
      <c r="G82">
        <f t="shared" si="10"/>
        <v>0</v>
      </c>
      <c r="H82">
        <f t="shared" si="11"/>
        <v>0</v>
      </c>
    </row>
    <row r="83" spans="1:8" x14ac:dyDescent="0.25">
      <c r="A83" t="s">
        <v>138</v>
      </c>
      <c r="B83" t="s">
        <v>549</v>
      </c>
      <c r="C83" t="s">
        <v>550</v>
      </c>
      <c r="D83">
        <f>_xlfn.XLOOKUP(A83,[1]Loads!A:A,[1]Loads!B:B)*M83</f>
        <v>0</v>
      </c>
      <c r="E83">
        <v>253</v>
      </c>
      <c r="F83" t="s">
        <v>551</v>
      </c>
      <c r="G83">
        <f t="shared" si="10"/>
        <v>0</v>
      </c>
      <c r="H83">
        <f t="shared" si="11"/>
        <v>0</v>
      </c>
    </row>
    <row r="84" spans="1:8" x14ac:dyDescent="0.25">
      <c r="A84" t="s">
        <v>139</v>
      </c>
      <c r="B84" t="s">
        <v>549</v>
      </c>
      <c r="C84" t="s">
        <v>550</v>
      </c>
      <c r="D84">
        <f>_xlfn.XLOOKUP(A84,[1]Loads!A:A,[1]Loads!B:B)*M84</f>
        <v>0</v>
      </c>
      <c r="E84">
        <v>254</v>
      </c>
      <c r="F84" t="s">
        <v>551</v>
      </c>
      <c r="G84">
        <f t="shared" si="10"/>
        <v>0</v>
      </c>
      <c r="H84">
        <f t="shared" si="11"/>
        <v>0</v>
      </c>
    </row>
    <row r="85" spans="1:8" x14ac:dyDescent="0.25">
      <c r="A85" t="s">
        <v>140</v>
      </c>
      <c r="B85" t="s">
        <v>549</v>
      </c>
      <c r="C85" t="s">
        <v>550</v>
      </c>
      <c r="D85">
        <f>_xlfn.XLOOKUP(A85,[1]Loads!A:A,[1]Loads!B:B)*M85</f>
        <v>0</v>
      </c>
      <c r="E85">
        <v>255</v>
      </c>
      <c r="F85" t="s">
        <v>551</v>
      </c>
      <c r="G85">
        <f t="shared" si="10"/>
        <v>0</v>
      </c>
      <c r="H85">
        <f t="shared" si="11"/>
        <v>0</v>
      </c>
    </row>
    <row r="86" spans="1:8" x14ac:dyDescent="0.25">
      <c r="A86" t="s">
        <v>141</v>
      </c>
      <c r="B86" t="s">
        <v>549</v>
      </c>
      <c r="C86" t="s">
        <v>550</v>
      </c>
      <c r="D86">
        <f>_xlfn.XLOOKUP(A86,[1]Loads!A:A,[1]Loads!B:B)*M86</f>
        <v>0</v>
      </c>
      <c r="E86">
        <v>256</v>
      </c>
      <c r="F86" t="s">
        <v>551</v>
      </c>
      <c r="G86">
        <f t="shared" si="10"/>
        <v>0</v>
      </c>
      <c r="H86">
        <f t="shared" si="11"/>
        <v>0</v>
      </c>
    </row>
    <row r="87" spans="1:8" x14ac:dyDescent="0.25">
      <c r="A87" t="s">
        <v>142</v>
      </c>
      <c r="B87" t="s">
        <v>549</v>
      </c>
      <c r="C87" t="s">
        <v>550</v>
      </c>
      <c r="D87">
        <f>_xlfn.XLOOKUP(A87,[1]Loads!A:A,[1]Loads!B:B)*M87</f>
        <v>0</v>
      </c>
      <c r="E87">
        <v>257</v>
      </c>
      <c r="F87" t="s">
        <v>551</v>
      </c>
      <c r="G87">
        <f t="shared" si="10"/>
        <v>0</v>
      </c>
      <c r="H87">
        <f t="shared" si="11"/>
        <v>0</v>
      </c>
    </row>
    <row r="88" spans="1:8" x14ac:dyDescent="0.25">
      <c r="A88" t="s">
        <v>143</v>
      </c>
      <c r="B88" t="s">
        <v>549</v>
      </c>
      <c r="C88" t="s">
        <v>550</v>
      </c>
      <c r="D88">
        <f>_xlfn.XLOOKUP(A88,[1]Loads!A:A,[1]Loads!B:B)*M88</f>
        <v>0</v>
      </c>
      <c r="E88">
        <v>258</v>
      </c>
      <c r="F88" t="s">
        <v>551</v>
      </c>
      <c r="G88">
        <f t="shared" si="10"/>
        <v>0</v>
      </c>
      <c r="H88">
        <f t="shared" si="11"/>
        <v>0</v>
      </c>
    </row>
    <row r="89" spans="1:8" x14ac:dyDescent="0.25">
      <c r="A89" t="s">
        <v>144</v>
      </c>
      <c r="B89" t="s">
        <v>549</v>
      </c>
      <c r="C89" t="s">
        <v>550</v>
      </c>
      <c r="D89">
        <f>_xlfn.XLOOKUP(A89,[1]Loads!A:A,[1]Loads!B:B)*M89</f>
        <v>0</v>
      </c>
      <c r="E89">
        <v>259</v>
      </c>
      <c r="F89" t="s">
        <v>551</v>
      </c>
      <c r="G89">
        <f t="shared" si="10"/>
        <v>0</v>
      </c>
      <c r="H89">
        <f t="shared" si="11"/>
        <v>0</v>
      </c>
    </row>
    <row r="90" spans="1:8" x14ac:dyDescent="0.25">
      <c r="A90" t="s">
        <v>145</v>
      </c>
      <c r="B90" t="s">
        <v>549</v>
      </c>
      <c r="C90" t="s">
        <v>550</v>
      </c>
      <c r="D90">
        <f>_xlfn.XLOOKUP(A90,[1]Loads!A:A,[1]Loads!B:B)*M90</f>
        <v>0</v>
      </c>
      <c r="E90">
        <v>260</v>
      </c>
      <c r="F90" t="s">
        <v>551</v>
      </c>
      <c r="G90">
        <f t="shared" si="10"/>
        <v>0</v>
      </c>
      <c r="H90">
        <f t="shared" si="11"/>
        <v>0</v>
      </c>
    </row>
    <row r="91" spans="1:8" x14ac:dyDescent="0.25">
      <c r="A91" t="s">
        <v>146</v>
      </c>
      <c r="B91" t="s">
        <v>549</v>
      </c>
      <c r="C91" t="s">
        <v>550</v>
      </c>
      <c r="D91">
        <f>_xlfn.XLOOKUP(A91,[1]Loads!A:A,[1]Loads!B:B)*M91</f>
        <v>0</v>
      </c>
      <c r="E91">
        <v>261</v>
      </c>
      <c r="F91" t="s">
        <v>551</v>
      </c>
      <c r="G91">
        <f t="shared" si="10"/>
        <v>0</v>
      </c>
      <c r="H91">
        <f t="shared" si="11"/>
        <v>0</v>
      </c>
    </row>
    <row r="92" spans="1:8" x14ac:dyDescent="0.25">
      <c r="A92" t="s">
        <v>147</v>
      </c>
      <c r="B92" t="s">
        <v>549</v>
      </c>
      <c r="C92" t="s">
        <v>550</v>
      </c>
      <c r="D92">
        <f>_xlfn.XLOOKUP(A92,[1]Loads!A:A,[1]Loads!B:B)*M92</f>
        <v>0</v>
      </c>
      <c r="E92">
        <v>262</v>
      </c>
      <c r="F92" t="s">
        <v>551</v>
      </c>
      <c r="G92">
        <f t="shared" si="10"/>
        <v>0</v>
      </c>
      <c r="H92">
        <f t="shared" si="11"/>
        <v>0</v>
      </c>
    </row>
    <row r="93" spans="1:8" x14ac:dyDescent="0.25">
      <c r="A93" t="s">
        <v>148</v>
      </c>
      <c r="B93" t="s">
        <v>549</v>
      </c>
      <c r="C93" t="s">
        <v>550</v>
      </c>
      <c r="D93">
        <f>_xlfn.XLOOKUP(A93,[1]Loads!A:A,[1]Loads!B:B)*M93</f>
        <v>0</v>
      </c>
      <c r="E93">
        <v>263</v>
      </c>
      <c r="F93" t="s">
        <v>551</v>
      </c>
      <c r="G93">
        <f t="shared" si="10"/>
        <v>0</v>
      </c>
      <c r="H93">
        <f t="shared" si="11"/>
        <v>0</v>
      </c>
    </row>
    <row r="94" spans="1:8" x14ac:dyDescent="0.25">
      <c r="A94" t="s">
        <v>149</v>
      </c>
      <c r="B94" t="s">
        <v>549</v>
      </c>
      <c r="C94" t="s">
        <v>550</v>
      </c>
      <c r="D94">
        <f>_xlfn.XLOOKUP(A94,[1]Loads!A:A,[1]Loads!B:B)*M94</f>
        <v>0</v>
      </c>
      <c r="E94">
        <v>264</v>
      </c>
      <c r="F94" t="s">
        <v>551</v>
      </c>
      <c r="G94">
        <f t="shared" si="10"/>
        <v>0</v>
      </c>
      <c r="H94">
        <f t="shared" si="11"/>
        <v>0</v>
      </c>
    </row>
    <row r="95" spans="1:8" x14ac:dyDescent="0.25">
      <c r="A95" t="s">
        <v>150</v>
      </c>
      <c r="B95" t="s">
        <v>549</v>
      </c>
      <c r="C95" t="s">
        <v>550</v>
      </c>
      <c r="D95">
        <f>_xlfn.XLOOKUP(A95,[1]Loads!A:A,[1]Loads!B:B)*M95</f>
        <v>0</v>
      </c>
      <c r="E95">
        <v>265</v>
      </c>
      <c r="F95" t="s">
        <v>551</v>
      </c>
      <c r="G95">
        <f t="shared" ref="G95:G137" si="12">-E95*$I$2</f>
        <v>0</v>
      </c>
      <c r="H95">
        <f t="shared" ref="H95:H137" si="13">E95*$I$2</f>
        <v>0</v>
      </c>
    </row>
    <row r="96" spans="1:8" x14ac:dyDescent="0.25">
      <c r="A96" t="s">
        <v>151</v>
      </c>
      <c r="B96" t="s">
        <v>549</v>
      </c>
      <c r="C96" t="s">
        <v>550</v>
      </c>
      <c r="D96">
        <f>_xlfn.XLOOKUP(A96,[1]Loads!A:A,[1]Loads!B:B)*M96</f>
        <v>0</v>
      </c>
      <c r="E96">
        <v>266</v>
      </c>
      <c r="F96" t="s">
        <v>551</v>
      </c>
      <c r="G96">
        <f t="shared" si="12"/>
        <v>0</v>
      </c>
      <c r="H96">
        <f t="shared" si="13"/>
        <v>0</v>
      </c>
    </row>
    <row r="97" spans="1:8" x14ac:dyDescent="0.25">
      <c r="A97" t="s">
        <v>152</v>
      </c>
      <c r="B97" t="s">
        <v>549</v>
      </c>
      <c r="C97" t="s">
        <v>550</v>
      </c>
      <c r="D97">
        <f>_xlfn.XLOOKUP(A97,[1]Loads!A:A,[1]Loads!B:B)*M97</f>
        <v>0</v>
      </c>
      <c r="E97">
        <v>267</v>
      </c>
      <c r="F97" t="s">
        <v>551</v>
      </c>
      <c r="G97">
        <f t="shared" si="12"/>
        <v>0</v>
      </c>
      <c r="H97">
        <f t="shared" si="13"/>
        <v>0</v>
      </c>
    </row>
    <row r="98" spans="1:8" x14ac:dyDescent="0.25">
      <c r="A98" t="s">
        <v>153</v>
      </c>
      <c r="B98" t="s">
        <v>549</v>
      </c>
      <c r="C98" t="s">
        <v>550</v>
      </c>
      <c r="D98">
        <f>_xlfn.XLOOKUP(A98,[1]Loads!A:A,[1]Loads!B:B)*M98</f>
        <v>0</v>
      </c>
      <c r="E98">
        <v>268</v>
      </c>
      <c r="F98" t="s">
        <v>551</v>
      </c>
      <c r="G98">
        <f t="shared" si="12"/>
        <v>0</v>
      </c>
      <c r="H98">
        <f t="shared" si="13"/>
        <v>0</v>
      </c>
    </row>
    <row r="99" spans="1:8" x14ac:dyDescent="0.25">
      <c r="A99" t="s">
        <v>154</v>
      </c>
      <c r="B99" t="s">
        <v>549</v>
      </c>
      <c r="C99" t="s">
        <v>550</v>
      </c>
      <c r="D99">
        <f>_xlfn.XLOOKUP(A99,[1]Loads!A:A,[1]Loads!B:B)*M99</f>
        <v>0</v>
      </c>
      <c r="E99">
        <v>269</v>
      </c>
      <c r="F99" t="s">
        <v>551</v>
      </c>
      <c r="G99">
        <f t="shared" si="12"/>
        <v>0</v>
      </c>
      <c r="H99">
        <f t="shared" si="13"/>
        <v>0</v>
      </c>
    </row>
    <row r="100" spans="1:8" x14ac:dyDescent="0.25">
      <c r="A100" t="s">
        <v>155</v>
      </c>
      <c r="B100" t="s">
        <v>549</v>
      </c>
      <c r="C100" t="s">
        <v>550</v>
      </c>
      <c r="D100">
        <f>_xlfn.XLOOKUP(A100,[1]Loads!A:A,[1]Loads!B:B)*M100</f>
        <v>0</v>
      </c>
      <c r="E100">
        <v>270</v>
      </c>
      <c r="F100" t="s">
        <v>551</v>
      </c>
      <c r="G100">
        <f t="shared" si="12"/>
        <v>0</v>
      </c>
      <c r="H100">
        <f t="shared" si="13"/>
        <v>0</v>
      </c>
    </row>
    <row r="101" spans="1:8" x14ac:dyDescent="0.25">
      <c r="A101" t="s">
        <v>156</v>
      </c>
      <c r="B101" t="s">
        <v>549</v>
      </c>
      <c r="C101" t="s">
        <v>550</v>
      </c>
      <c r="D101">
        <f>_xlfn.XLOOKUP(A101,[1]Loads!A:A,[1]Loads!B:B)*M101</f>
        <v>0</v>
      </c>
      <c r="E101">
        <v>271</v>
      </c>
      <c r="F101" t="s">
        <v>551</v>
      </c>
      <c r="G101">
        <f t="shared" si="12"/>
        <v>0</v>
      </c>
      <c r="H101">
        <f t="shared" si="13"/>
        <v>0</v>
      </c>
    </row>
    <row r="102" spans="1:8" x14ac:dyDescent="0.25">
      <c r="A102" t="s">
        <v>157</v>
      </c>
      <c r="B102" t="s">
        <v>549</v>
      </c>
      <c r="C102" t="s">
        <v>550</v>
      </c>
      <c r="D102">
        <f>_xlfn.XLOOKUP(A102,[1]Loads!A:A,[1]Loads!B:B)*M102</f>
        <v>0</v>
      </c>
      <c r="E102">
        <v>272</v>
      </c>
      <c r="F102" t="s">
        <v>551</v>
      </c>
      <c r="G102">
        <f t="shared" si="12"/>
        <v>0</v>
      </c>
      <c r="H102">
        <f t="shared" si="13"/>
        <v>0</v>
      </c>
    </row>
    <row r="103" spans="1:8" x14ac:dyDescent="0.25">
      <c r="A103" t="s">
        <v>158</v>
      </c>
      <c r="B103" t="s">
        <v>549</v>
      </c>
      <c r="C103" t="s">
        <v>550</v>
      </c>
      <c r="D103">
        <f>_xlfn.XLOOKUP(A103,[1]Loads!A:A,[1]Loads!B:B)*M103</f>
        <v>0</v>
      </c>
      <c r="E103">
        <v>273</v>
      </c>
      <c r="F103" t="s">
        <v>551</v>
      </c>
      <c r="G103">
        <f t="shared" si="12"/>
        <v>0</v>
      </c>
      <c r="H103">
        <f t="shared" si="13"/>
        <v>0</v>
      </c>
    </row>
    <row r="104" spans="1:8" x14ac:dyDescent="0.25">
      <c r="A104" t="s">
        <v>159</v>
      </c>
      <c r="B104" t="s">
        <v>549</v>
      </c>
      <c r="C104" t="s">
        <v>550</v>
      </c>
      <c r="D104">
        <f>_xlfn.XLOOKUP(A104,[1]Loads!A:A,[1]Loads!B:B)*M104</f>
        <v>0</v>
      </c>
      <c r="E104">
        <v>274</v>
      </c>
      <c r="F104" t="s">
        <v>551</v>
      </c>
      <c r="G104">
        <f t="shared" si="12"/>
        <v>0</v>
      </c>
      <c r="H104">
        <f t="shared" si="13"/>
        <v>0</v>
      </c>
    </row>
    <row r="105" spans="1:8" x14ac:dyDescent="0.25">
      <c r="A105" t="s">
        <v>160</v>
      </c>
      <c r="B105" t="s">
        <v>549</v>
      </c>
      <c r="C105" t="s">
        <v>550</v>
      </c>
      <c r="D105">
        <f>_xlfn.XLOOKUP(A105,[1]Loads!A:A,[1]Loads!B:B)*M105</f>
        <v>0</v>
      </c>
      <c r="E105">
        <v>275</v>
      </c>
      <c r="F105" t="s">
        <v>551</v>
      </c>
      <c r="G105">
        <f t="shared" si="12"/>
        <v>0</v>
      </c>
      <c r="H105">
        <f t="shared" si="13"/>
        <v>0</v>
      </c>
    </row>
    <row r="106" spans="1:8" x14ac:dyDescent="0.25">
      <c r="A106" t="s">
        <v>161</v>
      </c>
      <c r="B106" t="s">
        <v>549</v>
      </c>
      <c r="C106" t="s">
        <v>550</v>
      </c>
      <c r="D106">
        <f>_xlfn.XLOOKUP(A106,[1]Loads!A:A,[1]Loads!B:B)*M106</f>
        <v>0</v>
      </c>
      <c r="E106">
        <v>276</v>
      </c>
      <c r="F106" t="s">
        <v>551</v>
      </c>
      <c r="G106">
        <f t="shared" si="12"/>
        <v>0</v>
      </c>
      <c r="H106">
        <f t="shared" si="13"/>
        <v>0</v>
      </c>
    </row>
    <row r="107" spans="1:8" x14ac:dyDescent="0.25">
      <c r="A107" t="s">
        <v>162</v>
      </c>
      <c r="B107" t="s">
        <v>549</v>
      </c>
      <c r="C107" t="s">
        <v>550</v>
      </c>
      <c r="D107">
        <f>_xlfn.XLOOKUP(A107,[1]Loads!A:A,[1]Loads!B:B)*M107</f>
        <v>0</v>
      </c>
      <c r="E107">
        <v>277</v>
      </c>
      <c r="F107" t="s">
        <v>551</v>
      </c>
      <c r="G107">
        <f t="shared" si="12"/>
        <v>0</v>
      </c>
      <c r="H107">
        <f t="shared" si="13"/>
        <v>0</v>
      </c>
    </row>
    <row r="108" spans="1:8" x14ac:dyDescent="0.25">
      <c r="A108" t="s">
        <v>163</v>
      </c>
      <c r="B108" t="s">
        <v>549</v>
      </c>
      <c r="C108" t="s">
        <v>550</v>
      </c>
      <c r="D108">
        <f>_xlfn.XLOOKUP(A108,[1]Loads!A:A,[1]Loads!B:B)*M108</f>
        <v>0</v>
      </c>
      <c r="E108">
        <v>278</v>
      </c>
      <c r="F108" t="s">
        <v>551</v>
      </c>
      <c r="G108">
        <f t="shared" si="12"/>
        <v>0</v>
      </c>
      <c r="H108">
        <f t="shared" si="13"/>
        <v>0</v>
      </c>
    </row>
    <row r="109" spans="1:8" x14ac:dyDescent="0.25">
      <c r="A109" t="s">
        <v>164</v>
      </c>
      <c r="B109" t="s">
        <v>549</v>
      </c>
      <c r="C109" t="s">
        <v>550</v>
      </c>
      <c r="D109">
        <f>_xlfn.XLOOKUP(A109,[1]Loads!A:A,[1]Loads!B:B)*M109</f>
        <v>0</v>
      </c>
      <c r="E109">
        <v>279</v>
      </c>
      <c r="F109" t="s">
        <v>551</v>
      </c>
      <c r="G109">
        <f t="shared" si="12"/>
        <v>0</v>
      </c>
      <c r="H109">
        <f t="shared" si="13"/>
        <v>0</v>
      </c>
    </row>
    <row r="110" spans="1:8" x14ac:dyDescent="0.25">
      <c r="A110" t="s">
        <v>165</v>
      </c>
      <c r="B110" t="s">
        <v>549</v>
      </c>
      <c r="C110" t="s">
        <v>550</v>
      </c>
      <c r="D110">
        <f>_xlfn.XLOOKUP(A110,[1]Loads!A:A,[1]Loads!B:B)*M110</f>
        <v>0</v>
      </c>
      <c r="E110">
        <v>280</v>
      </c>
      <c r="F110" t="s">
        <v>551</v>
      </c>
      <c r="G110">
        <f t="shared" si="12"/>
        <v>0</v>
      </c>
      <c r="H110">
        <f t="shared" si="13"/>
        <v>0</v>
      </c>
    </row>
    <row r="111" spans="1:8" x14ac:dyDescent="0.25">
      <c r="A111" t="s">
        <v>166</v>
      </c>
      <c r="B111" t="s">
        <v>549</v>
      </c>
      <c r="C111" t="s">
        <v>550</v>
      </c>
      <c r="D111">
        <f>_xlfn.XLOOKUP(A111,[1]Loads!A:A,[1]Loads!B:B)*M111</f>
        <v>0</v>
      </c>
      <c r="E111">
        <v>281</v>
      </c>
      <c r="F111" t="s">
        <v>551</v>
      </c>
      <c r="G111">
        <f t="shared" si="12"/>
        <v>0</v>
      </c>
      <c r="H111">
        <f t="shared" si="13"/>
        <v>0</v>
      </c>
    </row>
    <row r="112" spans="1:8" x14ac:dyDescent="0.25">
      <c r="A112" t="s">
        <v>167</v>
      </c>
      <c r="B112" t="s">
        <v>549</v>
      </c>
      <c r="C112" t="s">
        <v>550</v>
      </c>
      <c r="D112">
        <f>_xlfn.XLOOKUP(A112,[1]Loads!A:A,[1]Loads!B:B)*M112</f>
        <v>0</v>
      </c>
      <c r="E112">
        <v>282</v>
      </c>
      <c r="F112" t="s">
        <v>551</v>
      </c>
      <c r="G112">
        <f t="shared" si="12"/>
        <v>0</v>
      </c>
      <c r="H112">
        <f t="shared" si="13"/>
        <v>0</v>
      </c>
    </row>
    <row r="113" spans="1:8" x14ac:dyDescent="0.25">
      <c r="A113" t="s">
        <v>168</v>
      </c>
      <c r="B113" t="s">
        <v>549</v>
      </c>
      <c r="C113" t="s">
        <v>550</v>
      </c>
      <c r="D113">
        <f>_xlfn.XLOOKUP(A113,[1]Loads!A:A,[1]Loads!B:B)*M113</f>
        <v>0</v>
      </c>
      <c r="E113">
        <v>283</v>
      </c>
      <c r="F113" t="s">
        <v>551</v>
      </c>
      <c r="G113">
        <f t="shared" si="12"/>
        <v>0</v>
      </c>
      <c r="H113">
        <f t="shared" si="13"/>
        <v>0</v>
      </c>
    </row>
    <row r="114" spans="1:8" x14ac:dyDescent="0.25">
      <c r="A114" t="s">
        <v>169</v>
      </c>
      <c r="B114" t="s">
        <v>549</v>
      </c>
      <c r="C114" t="s">
        <v>550</v>
      </c>
      <c r="D114">
        <f>_xlfn.XLOOKUP(A114,[1]Loads!A:A,[1]Loads!B:B)*M114</f>
        <v>0</v>
      </c>
      <c r="E114">
        <v>284</v>
      </c>
      <c r="F114" t="s">
        <v>551</v>
      </c>
      <c r="G114">
        <f t="shared" si="12"/>
        <v>0</v>
      </c>
      <c r="H114">
        <f t="shared" si="13"/>
        <v>0</v>
      </c>
    </row>
    <row r="115" spans="1:8" x14ac:dyDescent="0.25">
      <c r="A115" t="s">
        <v>170</v>
      </c>
      <c r="B115" t="s">
        <v>549</v>
      </c>
      <c r="C115" t="s">
        <v>550</v>
      </c>
      <c r="D115">
        <f>_xlfn.XLOOKUP(A115,[1]Loads!A:A,[1]Loads!B:B)*M115</f>
        <v>0</v>
      </c>
      <c r="E115">
        <v>285</v>
      </c>
      <c r="F115" t="s">
        <v>551</v>
      </c>
      <c r="G115">
        <f t="shared" si="12"/>
        <v>0</v>
      </c>
      <c r="H115">
        <f t="shared" si="13"/>
        <v>0</v>
      </c>
    </row>
    <row r="116" spans="1:8" x14ac:dyDescent="0.25">
      <c r="A116" t="s">
        <v>171</v>
      </c>
      <c r="B116" t="s">
        <v>549</v>
      </c>
      <c r="C116" t="s">
        <v>550</v>
      </c>
      <c r="D116">
        <f>_xlfn.XLOOKUP(A116,[1]Loads!A:A,[1]Loads!B:B)*M116</f>
        <v>0</v>
      </c>
      <c r="E116">
        <v>286</v>
      </c>
      <c r="F116" t="s">
        <v>551</v>
      </c>
      <c r="G116">
        <f t="shared" si="12"/>
        <v>0</v>
      </c>
      <c r="H116">
        <f t="shared" si="13"/>
        <v>0</v>
      </c>
    </row>
    <row r="117" spans="1:8" x14ac:dyDescent="0.25">
      <c r="A117" t="s">
        <v>172</v>
      </c>
      <c r="B117" t="s">
        <v>549</v>
      </c>
      <c r="C117" t="s">
        <v>550</v>
      </c>
      <c r="D117">
        <f>_xlfn.XLOOKUP(A117,[1]Loads!A:A,[1]Loads!B:B)*M117</f>
        <v>0</v>
      </c>
      <c r="E117">
        <v>287</v>
      </c>
      <c r="F117" t="s">
        <v>551</v>
      </c>
      <c r="G117">
        <f t="shared" si="12"/>
        <v>0</v>
      </c>
      <c r="H117">
        <f t="shared" si="13"/>
        <v>0</v>
      </c>
    </row>
    <row r="118" spans="1:8" x14ac:dyDescent="0.25">
      <c r="A118" t="s">
        <v>173</v>
      </c>
      <c r="B118" t="s">
        <v>549</v>
      </c>
      <c r="C118" t="s">
        <v>550</v>
      </c>
      <c r="D118">
        <f>_xlfn.XLOOKUP(A118,[1]Loads!A:A,[1]Loads!B:B)*M118</f>
        <v>0</v>
      </c>
      <c r="E118">
        <v>288</v>
      </c>
      <c r="F118" t="s">
        <v>551</v>
      </c>
      <c r="G118">
        <f t="shared" si="12"/>
        <v>0</v>
      </c>
      <c r="H118">
        <f t="shared" si="13"/>
        <v>0</v>
      </c>
    </row>
    <row r="119" spans="1:8" x14ac:dyDescent="0.25">
      <c r="A119" t="s">
        <v>174</v>
      </c>
      <c r="B119" t="s">
        <v>549</v>
      </c>
      <c r="C119" t="s">
        <v>550</v>
      </c>
      <c r="D119">
        <f>_xlfn.XLOOKUP(A119,[1]Loads!A:A,[1]Loads!B:B)*M119</f>
        <v>0</v>
      </c>
      <c r="E119">
        <v>289</v>
      </c>
      <c r="F119" t="s">
        <v>551</v>
      </c>
      <c r="G119">
        <f t="shared" si="12"/>
        <v>0</v>
      </c>
      <c r="H119">
        <f t="shared" si="13"/>
        <v>0</v>
      </c>
    </row>
    <row r="120" spans="1:8" x14ac:dyDescent="0.25">
      <c r="A120" t="s">
        <v>176</v>
      </c>
      <c r="B120" t="s">
        <v>549</v>
      </c>
      <c r="C120" t="s">
        <v>550</v>
      </c>
      <c r="D120">
        <f>_xlfn.XLOOKUP(A120,[1]Loads!A:A,[1]Loads!B:B)*M120</f>
        <v>0</v>
      </c>
      <c r="E120">
        <v>290</v>
      </c>
      <c r="F120" t="s">
        <v>551</v>
      </c>
      <c r="G120">
        <f t="shared" si="12"/>
        <v>0</v>
      </c>
      <c r="H120">
        <f t="shared" si="13"/>
        <v>0</v>
      </c>
    </row>
    <row r="121" spans="1:8" x14ac:dyDescent="0.25">
      <c r="A121" t="s">
        <v>177</v>
      </c>
      <c r="B121" t="s">
        <v>549</v>
      </c>
      <c r="C121" t="s">
        <v>550</v>
      </c>
      <c r="D121">
        <f>_xlfn.XLOOKUP(A121,[1]Loads!A:A,[1]Loads!B:B)*M121</f>
        <v>0</v>
      </c>
      <c r="E121">
        <v>291</v>
      </c>
      <c r="F121" t="s">
        <v>551</v>
      </c>
      <c r="G121">
        <f t="shared" si="12"/>
        <v>0</v>
      </c>
      <c r="H121">
        <f t="shared" si="13"/>
        <v>0</v>
      </c>
    </row>
    <row r="122" spans="1:8" x14ac:dyDescent="0.25">
      <c r="A122" t="s">
        <v>178</v>
      </c>
      <c r="B122" t="s">
        <v>549</v>
      </c>
      <c r="C122" t="s">
        <v>550</v>
      </c>
      <c r="D122">
        <f>_xlfn.XLOOKUP(A122,[1]Loads!A:A,[1]Loads!B:B)*M122</f>
        <v>0</v>
      </c>
      <c r="E122">
        <v>292</v>
      </c>
      <c r="F122" t="s">
        <v>551</v>
      </c>
      <c r="G122">
        <f t="shared" si="12"/>
        <v>0</v>
      </c>
      <c r="H122">
        <f t="shared" si="13"/>
        <v>0</v>
      </c>
    </row>
    <row r="123" spans="1:8" x14ac:dyDescent="0.25">
      <c r="A123" t="s">
        <v>179</v>
      </c>
      <c r="B123" t="s">
        <v>549</v>
      </c>
      <c r="C123" t="s">
        <v>550</v>
      </c>
      <c r="D123">
        <f>_xlfn.XLOOKUP(A123,[1]Loads!A:A,[1]Loads!B:B)*M123</f>
        <v>0</v>
      </c>
      <c r="E123">
        <v>293</v>
      </c>
      <c r="F123" t="s">
        <v>551</v>
      </c>
      <c r="G123">
        <f t="shared" si="12"/>
        <v>0</v>
      </c>
      <c r="H123">
        <f t="shared" si="13"/>
        <v>0</v>
      </c>
    </row>
    <row r="124" spans="1:8" x14ac:dyDescent="0.25">
      <c r="A124" t="s">
        <v>180</v>
      </c>
      <c r="B124" t="s">
        <v>549</v>
      </c>
      <c r="C124" t="s">
        <v>550</v>
      </c>
      <c r="D124">
        <f>_xlfn.XLOOKUP(A124,[1]Loads!A:A,[1]Loads!B:B)*M124</f>
        <v>0</v>
      </c>
      <c r="E124">
        <v>294</v>
      </c>
      <c r="F124" t="s">
        <v>551</v>
      </c>
      <c r="G124">
        <f t="shared" si="12"/>
        <v>0</v>
      </c>
      <c r="H124">
        <f t="shared" si="13"/>
        <v>0</v>
      </c>
    </row>
    <row r="125" spans="1:8" x14ac:dyDescent="0.25">
      <c r="A125" t="s">
        <v>181</v>
      </c>
      <c r="B125" t="s">
        <v>549</v>
      </c>
      <c r="C125" t="s">
        <v>550</v>
      </c>
      <c r="D125">
        <f>_xlfn.XLOOKUP(A125,[1]Loads!A:A,[1]Loads!B:B)*M125</f>
        <v>0</v>
      </c>
      <c r="E125">
        <v>295</v>
      </c>
      <c r="F125" t="s">
        <v>551</v>
      </c>
      <c r="G125">
        <f t="shared" si="12"/>
        <v>0</v>
      </c>
      <c r="H125">
        <f t="shared" si="13"/>
        <v>0</v>
      </c>
    </row>
    <row r="126" spans="1:8" x14ac:dyDescent="0.25">
      <c r="A126" t="s">
        <v>182</v>
      </c>
      <c r="B126" t="s">
        <v>549</v>
      </c>
      <c r="C126" t="s">
        <v>550</v>
      </c>
      <c r="D126">
        <f>_xlfn.XLOOKUP(A126,[1]Loads!A:A,[1]Loads!B:B)*M126</f>
        <v>0</v>
      </c>
      <c r="E126">
        <v>296</v>
      </c>
      <c r="F126" t="s">
        <v>551</v>
      </c>
      <c r="G126">
        <f t="shared" si="12"/>
        <v>0</v>
      </c>
      <c r="H126">
        <f t="shared" si="13"/>
        <v>0</v>
      </c>
    </row>
    <row r="127" spans="1:8" x14ac:dyDescent="0.25">
      <c r="A127" t="s">
        <v>183</v>
      </c>
      <c r="B127" t="s">
        <v>549</v>
      </c>
      <c r="C127" t="s">
        <v>550</v>
      </c>
      <c r="D127">
        <f>_xlfn.XLOOKUP(A127,[1]Loads!A:A,[1]Loads!B:B)*M127</f>
        <v>0</v>
      </c>
      <c r="E127">
        <v>297</v>
      </c>
      <c r="F127" t="s">
        <v>551</v>
      </c>
      <c r="G127">
        <f t="shared" si="12"/>
        <v>0</v>
      </c>
      <c r="H127">
        <f t="shared" si="13"/>
        <v>0</v>
      </c>
    </row>
    <row r="128" spans="1:8" x14ac:dyDescent="0.25">
      <c r="A128" t="s">
        <v>184</v>
      </c>
      <c r="B128" t="s">
        <v>549</v>
      </c>
      <c r="C128" t="s">
        <v>550</v>
      </c>
      <c r="D128">
        <f>_xlfn.XLOOKUP(A128,[1]Loads!A:A,[1]Loads!B:B)*M128</f>
        <v>0</v>
      </c>
      <c r="E128">
        <v>298</v>
      </c>
      <c r="F128" t="s">
        <v>551</v>
      </c>
      <c r="G128">
        <f t="shared" si="12"/>
        <v>0</v>
      </c>
      <c r="H128">
        <f t="shared" si="13"/>
        <v>0</v>
      </c>
    </row>
    <row r="129" spans="1:8" x14ac:dyDescent="0.25">
      <c r="A129" t="s">
        <v>185</v>
      </c>
      <c r="B129" t="s">
        <v>549</v>
      </c>
      <c r="C129" t="s">
        <v>550</v>
      </c>
      <c r="D129">
        <f>_xlfn.XLOOKUP(A129,[1]Loads!A:A,[1]Loads!B:B)*M129</f>
        <v>0</v>
      </c>
      <c r="E129">
        <v>299</v>
      </c>
      <c r="F129" t="s">
        <v>551</v>
      </c>
      <c r="G129">
        <f t="shared" si="12"/>
        <v>0</v>
      </c>
      <c r="H129">
        <f t="shared" si="13"/>
        <v>0</v>
      </c>
    </row>
    <row r="130" spans="1:8" x14ac:dyDescent="0.25">
      <c r="A130" t="s">
        <v>186</v>
      </c>
      <c r="B130" t="s">
        <v>549</v>
      </c>
      <c r="C130" t="s">
        <v>550</v>
      </c>
      <c r="D130">
        <f>_xlfn.XLOOKUP(A130,[1]Loads!A:A,[1]Loads!B:B)*M130</f>
        <v>0</v>
      </c>
      <c r="E130">
        <v>300</v>
      </c>
      <c r="F130" t="s">
        <v>551</v>
      </c>
      <c r="G130">
        <f t="shared" si="12"/>
        <v>0</v>
      </c>
      <c r="H130">
        <f t="shared" si="13"/>
        <v>0</v>
      </c>
    </row>
    <row r="131" spans="1:8" x14ac:dyDescent="0.25">
      <c r="A131" t="s">
        <v>187</v>
      </c>
      <c r="B131" t="s">
        <v>549</v>
      </c>
      <c r="C131" t="s">
        <v>550</v>
      </c>
      <c r="D131">
        <f>_xlfn.XLOOKUP(A131,[1]Loads!A:A,[1]Loads!B:B)*M131</f>
        <v>0</v>
      </c>
      <c r="E131">
        <v>301</v>
      </c>
      <c r="F131" t="s">
        <v>551</v>
      </c>
      <c r="G131">
        <f t="shared" si="12"/>
        <v>0</v>
      </c>
      <c r="H131">
        <f t="shared" si="13"/>
        <v>0</v>
      </c>
    </row>
    <row r="132" spans="1:8" x14ac:dyDescent="0.25">
      <c r="A132" t="s">
        <v>188</v>
      </c>
      <c r="B132" t="s">
        <v>549</v>
      </c>
      <c r="C132" t="s">
        <v>550</v>
      </c>
      <c r="D132">
        <f>_xlfn.XLOOKUP(A132,[1]Loads!A:A,[1]Loads!B:B)*M132</f>
        <v>0</v>
      </c>
      <c r="E132">
        <v>302</v>
      </c>
      <c r="F132" t="s">
        <v>551</v>
      </c>
      <c r="G132">
        <f t="shared" si="12"/>
        <v>0</v>
      </c>
      <c r="H132">
        <f t="shared" si="13"/>
        <v>0</v>
      </c>
    </row>
    <row r="133" spans="1:8" x14ac:dyDescent="0.25">
      <c r="A133" t="s">
        <v>189</v>
      </c>
      <c r="B133" t="s">
        <v>549</v>
      </c>
      <c r="C133" t="s">
        <v>550</v>
      </c>
      <c r="D133">
        <f>_xlfn.XLOOKUP(A133,[1]Loads!A:A,[1]Loads!B:B)*M133</f>
        <v>0</v>
      </c>
      <c r="E133">
        <v>303</v>
      </c>
      <c r="F133" t="s">
        <v>551</v>
      </c>
      <c r="G133">
        <f t="shared" si="12"/>
        <v>0</v>
      </c>
      <c r="H133">
        <f t="shared" si="13"/>
        <v>0</v>
      </c>
    </row>
    <row r="134" spans="1:8" x14ac:dyDescent="0.25">
      <c r="A134" t="s">
        <v>190</v>
      </c>
      <c r="B134" t="s">
        <v>549</v>
      </c>
      <c r="C134" t="s">
        <v>550</v>
      </c>
      <c r="D134">
        <f>_xlfn.XLOOKUP(A134,[1]Loads!A:A,[1]Loads!B:B)*M134</f>
        <v>0</v>
      </c>
      <c r="E134">
        <v>304</v>
      </c>
      <c r="F134" t="s">
        <v>551</v>
      </c>
      <c r="G134">
        <f t="shared" si="12"/>
        <v>0</v>
      </c>
      <c r="H134">
        <f t="shared" si="13"/>
        <v>0</v>
      </c>
    </row>
    <row r="135" spans="1:8" x14ac:dyDescent="0.25">
      <c r="A135" t="s">
        <v>191</v>
      </c>
      <c r="B135" t="s">
        <v>549</v>
      </c>
      <c r="C135" t="s">
        <v>550</v>
      </c>
      <c r="D135">
        <f>_xlfn.XLOOKUP(A135,[1]Loads!A:A,[1]Loads!B:B)*M135</f>
        <v>0</v>
      </c>
      <c r="E135">
        <v>305</v>
      </c>
      <c r="F135" t="s">
        <v>551</v>
      </c>
      <c r="G135">
        <f t="shared" si="12"/>
        <v>0</v>
      </c>
      <c r="H135">
        <f t="shared" si="13"/>
        <v>0</v>
      </c>
    </row>
    <row r="136" spans="1:8" x14ac:dyDescent="0.25">
      <c r="A136" t="s">
        <v>192</v>
      </c>
      <c r="B136" t="s">
        <v>549</v>
      </c>
      <c r="C136" t="s">
        <v>550</v>
      </c>
      <c r="D136">
        <f>_xlfn.XLOOKUP(A136,[1]Loads!A:A,[1]Loads!B:B)*M136</f>
        <v>0</v>
      </c>
      <c r="E136">
        <v>306</v>
      </c>
      <c r="F136" t="s">
        <v>551</v>
      </c>
      <c r="G136">
        <f t="shared" si="12"/>
        <v>0</v>
      </c>
      <c r="H136">
        <f t="shared" si="13"/>
        <v>0</v>
      </c>
    </row>
    <row r="137" spans="1:8" x14ac:dyDescent="0.25">
      <c r="A137" t="s">
        <v>193</v>
      </c>
      <c r="B137" t="s">
        <v>549</v>
      </c>
      <c r="C137" t="s">
        <v>550</v>
      </c>
      <c r="D137">
        <f>_xlfn.XLOOKUP(A137,[1]Loads!A:A,[1]Loads!B:B)*M137</f>
        <v>0</v>
      </c>
      <c r="E137">
        <v>307</v>
      </c>
      <c r="F137" t="s">
        <v>551</v>
      </c>
      <c r="G137">
        <f t="shared" si="12"/>
        <v>0</v>
      </c>
      <c r="H137">
        <f t="shared" si="1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99BE-1271-49E1-8F37-78226E1C1660}">
  <dimension ref="J1:U65"/>
  <sheetViews>
    <sheetView workbookViewId="0">
      <selection sqref="A1:B1048576"/>
    </sheetView>
  </sheetViews>
  <sheetFormatPr defaultRowHeight="15" x14ac:dyDescent="0.25"/>
  <sheetData>
    <row r="1" spans="10:21" x14ac:dyDescent="0.25">
      <c r="J1" t="s">
        <v>195</v>
      </c>
      <c r="K1" t="s">
        <v>573</v>
      </c>
      <c r="L1" t="s">
        <v>574</v>
      </c>
      <c r="S1" t="s">
        <v>195</v>
      </c>
      <c r="T1">
        <v>43.6</v>
      </c>
      <c r="U1">
        <v>151.69999999999999</v>
      </c>
    </row>
    <row r="2" spans="10:21" x14ac:dyDescent="0.25">
      <c r="J2" t="s">
        <v>196</v>
      </c>
      <c r="K2" t="s">
        <v>575</v>
      </c>
      <c r="L2" t="s">
        <v>556</v>
      </c>
      <c r="S2" t="s">
        <v>196</v>
      </c>
      <c r="T2">
        <v>30.5</v>
      </c>
      <c r="U2">
        <v>-1.2</v>
      </c>
    </row>
    <row r="3" spans="10:21" x14ac:dyDescent="0.25">
      <c r="J3" t="s">
        <v>198</v>
      </c>
      <c r="K3" t="s">
        <v>576</v>
      </c>
      <c r="L3" t="s">
        <v>577</v>
      </c>
      <c r="S3" t="s">
        <v>197</v>
      </c>
      <c r="T3">
        <v>51.7</v>
      </c>
      <c r="U3">
        <v>-107.1</v>
      </c>
    </row>
    <row r="4" spans="10:21" x14ac:dyDescent="0.25">
      <c r="J4" t="s">
        <v>199</v>
      </c>
      <c r="K4" t="s">
        <v>578</v>
      </c>
      <c r="L4" t="s">
        <v>579</v>
      </c>
      <c r="S4" t="s">
        <v>198</v>
      </c>
      <c r="T4">
        <v>42.8</v>
      </c>
      <c r="U4">
        <v>11.9</v>
      </c>
    </row>
    <row r="5" spans="10:21" x14ac:dyDescent="0.25">
      <c r="J5" t="s">
        <v>216</v>
      </c>
      <c r="K5" t="s">
        <v>580</v>
      </c>
      <c r="L5" t="s">
        <v>557</v>
      </c>
      <c r="S5" t="s">
        <v>199</v>
      </c>
      <c r="T5">
        <v>22.9</v>
      </c>
      <c r="U5">
        <v>59.1</v>
      </c>
    </row>
    <row r="6" spans="10:21" x14ac:dyDescent="0.25">
      <c r="J6" t="s">
        <v>225</v>
      </c>
      <c r="K6" t="s">
        <v>581</v>
      </c>
      <c r="L6" t="s">
        <v>582</v>
      </c>
      <c r="S6" t="s">
        <v>200</v>
      </c>
      <c r="T6">
        <v>100.1</v>
      </c>
      <c r="U6">
        <v>88.5</v>
      </c>
    </row>
    <row r="7" spans="10:21" x14ac:dyDescent="0.25">
      <c r="J7" t="s">
        <v>226</v>
      </c>
      <c r="K7" t="s">
        <v>583</v>
      </c>
      <c r="L7" t="s">
        <v>584</v>
      </c>
      <c r="S7" t="s">
        <v>201</v>
      </c>
      <c r="T7">
        <v>29.3</v>
      </c>
      <c r="U7">
        <v>142.5</v>
      </c>
    </row>
    <row r="8" spans="10:21" x14ac:dyDescent="0.25">
      <c r="J8" t="s">
        <v>232</v>
      </c>
      <c r="K8" t="s">
        <v>585</v>
      </c>
      <c r="L8" t="s">
        <v>586</v>
      </c>
      <c r="S8" t="s">
        <v>202</v>
      </c>
      <c r="T8">
        <v>70.900000000000006</v>
      </c>
      <c r="U8">
        <v>230.3</v>
      </c>
    </row>
    <row r="9" spans="10:21" x14ac:dyDescent="0.25">
      <c r="J9" t="s">
        <v>237</v>
      </c>
      <c r="K9" t="s">
        <v>587</v>
      </c>
      <c r="L9" t="s">
        <v>558</v>
      </c>
      <c r="S9" t="s">
        <v>203</v>
      </c>
      <c r="T9">
        <v>45.1</v>
      </c>
      <c r="U9">
        <v>-130.4</v>
      </c>
    </row>
    <row r="10" spans="10:21" x14ac:dyDescent="0.25">
      <c r="J10" t="s">
        <v>241</v>
      </c>
      <c r="K10" t="s">
        <v>588</v>
      </c>
      <c r="L10" t="s">
        <v>559</v>
      </c>
      <c r="S10" t="s">
        <v>204</v>
      </c>
      <c r="T10">
        <v>32.700000000000003</v>
      </c>
      <c r="U10">
        <v>-124.2</v>
      </c>
    </row>
    <row r="11" spans="10:21" x14ac:dyDescent="0.25">
      <c r="J11" t="s">
        <v>242</v>
      </c>
      <c r="K11" t="s">
        <v>589</v>
      </c>
      <c r="L11" t="s">
        <v>560</v>
      </c>
      <c r="S11" t="s">
        <v>205</v>
      </c>
      <c r="T11">
        <v>3.6</v>
      </c>
      <c r="U11">
        <v>-7.4</v>
      </c>
    </row>
    <row r="12" spans="10:21" x14ac:dyDescent="0.25">
      <c r="J12" t="s">
        <v>243</v>
      </c>
      <c r="K12" t="s">
        <v>565</v>
      </c>
      <c r="L12" t="s">
        <v>590</v>
      </c>
      <c r="S12" t="s">
        <v>206</v>
      </c>
      <c r="T12">
        <v>196.7</v>
      </c>
      <c r="U12">
        <v>144.4</v>
      </c>
    </row>
    <row r="13" spans="10:21" x14ac:dyDescent="0.25">
      <c r="J13" t="s">
        <v>244</v>
      </c>
      <c r="K13" t="s">
        <v>565</v>
      </c>
      <c r="L13" t="s">
        <v>561</v>
      </c>
      <c r="S13" t="s">
        <v>207</v>
      </c>
      <c r="T13">
        <v>302.60000000000002</v>
      </c>
      <c r="U13">
        <v>-18.3</v>
      </c>
    </row>
    <row r="14" spans="10:21" x14ac:dyDescent="0.25">
      <c r="J14" t="s">
        <v>245</v>
      </c>
      <c r="K14" t="s">
        <v>591</v>
      </c>
      <c r="L14" t="s">
        <v>562</v>
      </c>
      <c r="S14" t="s">
        <v>208</v>
      </c>
      <c r="T14">
        <v>44.9</v>
      </c>
      <c r="U14">
        <v>-61.8</v>
      </c>
    </row>
    <row r="15" spans="10:21" x14ac:dyDescent="0.25">
      <c r="J15" t="s">
        <v>246</v>
      </c>
      <c r="K15" t="s">
        <v>565</v>
      </c>
      <c r="L15" t="s">
        <v>563</v>
      </c>
      <c r="S15" t="s">
        <v>209</v>
      </c>
      <c r="T15">
        <v>49.8</v>
      </c>
      <c r="U15">
        <v>-19.600000000000001</v>
      </c>
    </row>
    <row r="16" spans="10:21" x14ac:dyDescent="0.25">
      <c r="J16" t="s">
        <v>247</v>
      </c>
      <c r="K16" t="s">
        <v>592</v>
      </c>
      <c r="L16" t="s">
        <v>564</v>
      </c>
      <c r="S16" t="s">
        <v>210</v>
      </c>
      <c r="T16">
        <v>13.1</v>
      </c>
      <c r="U16">
        <v>-10.6</v>
      </c>
    </row>
    <row r="17" spans="10:21" x14ac:dyDescent="0.25">
      <c r="J17" t="s">
        <v>248</v>
      </c>
      <c r="K17" t="s">
        <v>593</v>
      </c>
      <c r="L17" t="s">
        <v>594</v>
      </c>
      <c r="S17" t="s">
        <v>211</v>
      </c>
      <c r="T17">
        <v>32.700000000000003</v>
      </c>
      <c r="U17">
        <v>-12.9</v>
      </c>
    </row>
    <row r="18" spans="10:21" x14ac:dyDescent="0.25">
      <c r="J18" t="s">
        <v>249</v>
      </c>
      <c r="K18" t="s">
        <v>595</v>
      </c>
      <c r="L18" t="s">
        <v>566</v>
      </c>
      <c r="S18" t="s">
        <v>212</v>
      </c>
      <c r="T18">
        <v>17.899999999999999</v>
      </c>
      <c r="U18">
        <v>-15.4</v>
      </c>
    </row>
    <row r="19" spans="10:21" x14ac:dyDescent="0.25">
      <c r="J19" t="s">
        <v>250</v>
      </c>
      <c r="K19" t="s">
        <v>596</v>
      </c>
      <c r="L19" t="s">
        <v>567</v>
      </c>
      <c r="S19" t="s">
        <v>213</v>
      </c>
      <c r="T19">
        <v>54.9</v>
      </c>
      <c r="U19">
        <v>-19.600000000000001</v>
      </c>
    </row>
    <row r="20" spans="10:21" x14ac:dyDescent="0.25">
      <c r="J20" t="s">
        <v>251</v>
      </c>
      <c r="K20" t="s">
        <v>597</v>
      </c>
      <c r="L20" t="s">
        <v>568</v>
      </c>
      <c r="S20" t="s">
        <v>214</v>
      </c>
      <c r="T20">
        <v>30.5</v>
      </c>
      <c r="U20">
        <v>172.5</v>
      </c>
    </row>
    <row r="21" spans="10:21" x14ac:dyDescent="0.25">
      <c r="J21" t="s">
        <v>252</v>
      </c>
      <c r="K21" t="s">
        <v>598</v>
      </c>
      <c r="L21" t="s">
        <v>599</v>
      </c>
      <c r="S21" t="s">
        <v>215</v>
      </c>
      <c r="T21">
        <v>59.7</v>
      </c>
      <c r="U21">
        <v>-20.100000000000001</v>
      </c>
    </row>
    <row r="22" spans="10:21" x14ac:dyDescent="0.25">
      <c r="J22" t="s">
        <v>253</v>
      </c>
      <c r="K22" t="s">
        <v>600</v>
      </c>
      <c r="L22" t="s">
        <v>601</v>
      </c>
      <c r="S22" t="s">
        <v>216</v>
      </c>
      <c r="T22">
        <v>18.3</v>
      </c>
      <c r="U22">
        <v>-17.3</v>
      </c>
    </row>
    <row r="23" spans="10:21" x14ac:dyDescent="0.25">
      <c r="J23" t="s">
        <v>255</v>
      </c>
      <c r="K23" t="s">
        <v>602</v>
      </c>
      <c r="L23" t="s">
        <v>569</v>
      </c>
      <c r="S23" t="s">
        <v>217</v>
      </c>
      <c r="T23">
        <v>44.3</v>
      </c>
      <c r="U23">
        <v>230.4</v>
      </c>
    </row>
    <row r="24" spans="10:21" x14ac:dyDescent="0.25">
      <c r="J24" t="s">
        <v>256</v>
      </c>
      <c r="K24" t="s">
        <v>603</v>
      </c>
      <c r="L24" t="s">
        <v>570</v>
      </c>
      <c r="S24" t="s">
        <v>218</v>
      </c>
      <c r="T24">
        <v>105.7</v>
      </c>
      <c r="U24">
        <v>-13.1</v>
      </c>
    </row>
    <row r="25" spans="10:21" x14ac:dyDescent="0.25">
      <c r="J25" t="s">
        <v>257</v>
      </c>
      <c r="K25" t="s">
        <v>604</v>
      </c>
      <c r="L25" t="s">
        <v>571</v>
      </c>
      <c r="S25" t="s">
        <v>219</v>
      </c>
      <c r="T25">
        <v>31.8</v>
      </c>
      <c r="U25">
        <v>230.4</v>
      </c>
    </row>
    <row r="26" spans="10:21" x14ac:dyDescent="0.25">
      <c r="J26" t="s">
        <v>258</v>
      </c>
      <c r="K26" t="s">
        <v>605</v>
      </c>
      <c r="L26" t="s">
        <v>572</v>
      </c>
      <c r="S26" t="s">
        <v>220</v>
      </c>
      <c r="T26">
        <v>29.6</v>
      </c>
      <c r="U26">
        <v>130</v>
      </c>
    </row>
    <row r="27" spans="10:21" x14ac:dyDescent="0.25">
      <c r="J27" t="s">
        <v>259</v>
      </c>
      <c r="K27" t="s">
        <v>606</v>
      </c>
      <c r="L27" t="s">
        <v>607</v>
      </c>
      <c r="S27" t="s">
        <v>221</v>
      </c>
      <c r="T27">
        <v>23.1</v>
      </c>
      <c r="U27">
        <v>-11.4</v>
      </c>
    </row>
    <row r="28" spans="10:21" x14ac:dyDescent="0.25">
      <c r="J28" t="s">
        <v>492</v>
      </c>
      <c r="K28" t="s">
        <v>608</v>
      </c>
      <c r="L28" t="s">
        <v>565</v>
      </c>
      <c r="S28" t="s">
        <v>222</v>
      </c>
      <c r="T28">
        <v>51.5</v>
      </c>
      <c r="U28">
        <v>-17.600000000000001</v>
      </c>
    </row>
    <row r="29" spans="10:21" x14ac:dyDescent="0.25">
      <c r="J29" t="s">
        <v>476</v>
      </c>
      <c r="K29" t="s">
        <v>609</v>
      </c>
      <c r="L29" t="s">
        <v>565</v>
      </c>
      <c r="S29" t="s">
        <v>223</v>
      </c>
      <c r="T29">
        <v>32.200000000000003</v>
      </c>
      <c r="U29">
        <v>-47.3</v>
      </c>
    </row>
    <row r="30" spans="10:21" x14ac:dyDescent="0.25">
      <c r="J30" t="s">
        <v>479</v>
      </c>
      <c r="K30" t="s">
        <v>610</v>
      </c>
      <c r="L30" t="s">
        <v>565</v>
      </c>
      <c r="S30" t="s">
        <v>224</v>
      </c>
      <c r="T30">
        <v>3.2</v>
      </c>
      <c r="U30">
        <v>-127.8</v>
      </c>
    </row>
    <row r="31" spans="10:21" x14ac:dyDescent="0.25">
      <c r="J31" t="s">
        <v>494</v>
      </c>
      <c r="K31" t="s">
        <v>611</v>
      </c>
      <c r="L31" t="s">
        <v>565</v>
      </c>
      <c r="S31" t="s">
        <v>225</v>
      </c>
      <c r="T31">
        <v>36.9</v>
      </c>
      <c r="U31">
        <v>117.2</v>
      </c>
    </row>
    <row r="32" spans="10:21" x14ac:dyDescent="0.25">
      <c r="J32" t="s">
        <v>19</v>
      </c>
      <c r="K32" t="s">
        <v>612</v>
      </c>
      <c r="L32" t="s">
        <v>613</v>
      </c>
      <c r="S32" t="s">
        <v>226</v>
      </c>
      <c r="T32">
        <v>30.9</v>
      </c>
      <c r="U32">
        <v>116.2</v>
      </c>
    </row>
    <row r="33" spans="10:21" x14ac:dyDescent="0.25">
      <c r="J33" t="s">
        <v>28</v>
      </c>
      <c r="K33" t="s">
        <v>614</v>
      </c>
      <c r="L33" t="s">
        <v>615</v>
      </c>
      <c r="S33" t="s">
        <v>227</v>
      </c>
      <c r="T33">
        <v>13.9</v>
      </c>
      <c r="U33">
        <v>-9.6999999999999993</v>
      </c>
    </row>
    <row r="34" spans="10:21" x14ac:dyDescent="0.25">
      <c r="J34" t="s">
        <v>29</v>
      </c>
      <c r="K34" t="s">
        <v>616</v>
      </c>
      <c r="L34" t="s">
        <v>617</v>
      </c>
      <c r="S34" t="s">
        <v>228</v>
      </c>
      <c r="T34">
        <v>53.9</v>
      </c>
      <c r="U34">
        <v>73.400000000000006</v>
      </c>
    </row>
    <row r="35" spans="10:21" x14ac:dyDescent="0.25">
      <c r="J35" t="s">
        <v>31</v>
      </c>
      <c r="K35" t="s">
        <v>618</v>
      </c>
      <c r="L35" t="s">
        <v>619</v>
      </c>
      <c r="S35" t="s">
        <v>229</v>
      </c>
      <c r="T35">
        <v>6.6</v>
      </c>
      <c r="U35">
        <v>86.9</v>
      </c>
    </row>
    <row r="36" spans="10:21" x14ac:dyDescent="0.25">
      <c r="S36" t="s">
        <v>230</v>
      </c>
      <c r="T36">
        <v>16.8</v>
      </c>
      <c r="U36">
        <v>-95.5</v>
      </c>
    </row>
    <row r="37" spans="10:21" x14ac:dyDescent="0.25">
      <c r="S37" t="s">
        <v>231</v>
      </c>
      <c r="T37">
        <v>62.3</v>
      </c>
      <c r="U37">
        <v>-109.6</v>
      </c>
    </row>
    <row r="38" spans="10:21" x14ac:dyDescent="0.25">
      <c r="S38" t="s">
        <v>232</v>
      </c>
      <c r="T38">
        <v>11.2</v>
      </c>
      <c r="U38">
        <v>110.1</v>
      </c>
    </row>
    <row r="39" spans="10:21" x14ac:dyDescent="0.25">
      <c r="S39" t="s">
        <v>233</v>
      </c>
      <c r="T39">
        <v>10.7</v>
      </c>
      <c r="U39">
        <v>-93.5</v>
      </c>
    </row>
    <row r="40" spans="10:21" x14ac:dyDescent="0.25">
      <c r="S40" t="s">
        <v>234</v>
      </c>
      <c r="T40">
        <v>118.8</v>
      </c>
      <c r="U40">
        <v>146.9</v>
      </c>
    </row>
    <row r="41" spans="10:21" x14ac:dyDescent="0.25">
      <c r="S41" t="s">
        <v>235</v>
      </c>
      <c r="T41">
        <v>55.7</v>
      </c>
      <c r="U41">
        <v>-73.900000000000006</v>
      </c>
    </row>
    <row r="42" spans="10:21" x14ac:dyDescent="0.25">
      <c r="S42" t="s">
        <v>236</v>
      </c>
      <c r="T42">
        <v>43.2</v>
      </c>
      <c r="U42">
        <v>121.2</v>
      </c>
    </row>
    <row r="43" spans="10:21" x14ac:dyDescent="0.25">
      <c r="S43" t="s">
        <v>237</v>
      </c>
      <c r="T43">
        <v>70.8</v>
      </c>
      <c r="U43">
        <v>-96.9</v>
      </c>
    </row>
    <row r="44" spans="10:21" x14ac:dyDescent="0.25">
      <c r="S44" t="s">
        <v>238</v>
      </c>
      <c r="T44">
        <v>47.8</v>
      </c>
      <c r="U44">
        <v>-98.5</v>
      </c>
    </row>
    <row r="45" spans="10:21" x14ac:dyDescent="0.25">
      <c r="S45" t="s">
        <v>239</v>
      </c>
      <c r="T45">
        <v>46.9</v>
      </c>
      <c r="U45">
        <v>1.1000000000000001</v>
      </c>
    </row>
    <row r="46" spans="10:21" x14ac:dyDescent="0.25">
      <c r="S46" t="s">
        <v>240</v>
      </c>
      <c r="T46">
        <v>142.1</v>
      </c>
      <c r="U46">
        <v>8.5</v>
      </c>
    </row>
    <row r="47" spans="10:21" x14ac:dyDescent="0.25">
      <c r="S47" t="s">
        <v>241</v>
      </c>
      <c r="T47">
        <v>143.5</v>
      </c>
      <c r="U47">
        <v>-98.3</v>
      </c>
    </row>
    <row r="48" spans="10:21" x14ac:dyDescent="0.25">
      <c r="S48" t="s">
        <v>242</v>
      </c>
      <c r="T48">
        <v>22.3</v>
      </c>
      <c r="U48">
        <v>-100.6</v>
      </c>
    </row>
    <row r="49" spans="19:21" x14ac:dyDescent="0.25">
      <c r="S49" t="s">
        <v>243</v>
      </c>
      <c r="T49">
        <v>26.8</v>
      </c>
      <c r="U49">
        <v>128.1</v>
      </c>
    </row>
    <row r="50" spans="19:21" x14ac:dyDescent="0.25">
      <c r="S50" t="s">
        <v>244</v>
      </c>
      <c r="T50">
        <v>37.5</v>
      </c>
      <c r="U50">
        <v>-79.900000000000006</v>
      </c>
    </row>
    <row r="51" spans="19:21" x14ac:dyDescent="0.25">
      <c r="S51" t="s">
        <v>245</v>
      </c>
      <c r="T51">
        <v>53.3</v>
      </c>
      <c r="U51">
        <v>-16.899999999999999</v>
      </c>
    </row>
    <row r="52" spans="19:21" x14ac:dyDescent="0.25">
      <c r="S52" t="s">
        <v>246</v>
      </c>
      <c r="T52">
        <v>62</v>
      </c>
      <c r="U52">
        <v>-4.5999999999999996</v>
      </c>
    </row>
    <row r="53" spans="19:21" x14ac:dyDescent="0.25">
      <c r="S53" t="s">
        <v>247</v>
      </c>
      <c r="T53">
        <v>18.899999999999999</v>
      </c>
      <c r="U53">
        <v>-2.7</v>
      </c>
    </row>
    <row r="54" spans="19:21" x14ac:dyDescent="0.25">
      <c r="S54" t="s">
        <v>248</v>
      </c>
      <c r="T54">
        <v>8</v>
      </c>
      <c r="U54">
        <v>169.5</v>
      </c>
    </row>
    <row r="55" spans="19:21" x14ac:dyDescent="0.25">
      <c r="S55" t="s">
        <v>249</v>
      </c>
      <c r="T55">
        <v>229.8</v>
      </c>
      <c r="U55">
        <v>-25.4</v>
      </c>
    </row>
    <row r="56" spans="19:21" x14ac:dyDescent="0.25">
      <c r="S56" t="s">
        <v>250</v>
      </c>
      <c r="T56">
        <v>33.799999999999997</v>
      </c>
      <c r="U56">
        <v>-30.5</v>
      </c>
    </row>
    <row r="57" spans="19:21" x14ac:dyDescent="0.25">
      <c r="S57" t="s">
        <v>251</v>
      </c>
      <c r="T57">
        <v>28.3</v>
      </c>
      <c r="U57">
        <v>-8.6</v>
      </c>
    </row>
    <row r="58" spans="19:21" x14ac:dyDescent="0.25">
      <c r="S58" t="s">
        <v>252</v>
      </c>
      <c r="T58">
        <v>92.4</v>
      </c>
      <c r="U58">
        <v>11.4</v>
      </c>
    </row>
    <row r="59" spans="19:21" x14ac:dyDescent="0.25">
      <c r="S59" t="s">
        <v>253</v>
      </c>
      <c r="T59">
        <v>63.5</v>
      </c>
      <c r="U59">
        <v>64.5</v>
      </c>
    </row>
    <row r="60" spans="19:21" x14ac:dyDescent="0.25">
      <c r="S60" t="s">
        <v>254</v>
      </c>
      <c r="T60">
        <v>40.6</v>
      </c>
      <c r="U60">
        <v>-100.2</v>
      </c>
    </row>
    <row r="61" spans="19:21" x14ac:dyDescent="0.25">
      <c r="S61" t="s">
        <v>255</v>
      </c>
      <c r="T61">
        <v>31.7</v>
      </c>
      <c r="U61">
        <v>-6.3</v>
      </c>
    </row>
    <row r="62" spans="19:21" x14ac:dyDescent="0.25">
      <c r="S62" t="s">
        <v>256</v>
      </c>
      <c r="T62">
        <v>77</v>
      </c>
      <c r="U62">
        <v>-10.4</v>
      </c>
    </row>
    <row r="63" spans="19:21" x14ac:dyDescent="0.25">
      <c r="S63" t="s">
        <v>257</v>
      </c>
      <c r="T63">
        <v>96.7</v>
      </c>
      <c r="U63">
        <v>-20.100000000000001</v>
      </c>
    </row>
    <row r="64" spans="19:21" x14ac:dyDescent="0.25">
      <c r="S64" t="s">
        <v>258</v>
      </c>
      <c r="T64">
        <v>41.5</v>
      </c>
      <c r="U64">
        <v>-48.8</v>
      </c>
    </row>
    <row r="65" spans="19:21" x14ac:dyDescent="0.25">
      <c r="S65" t="s">
        <v>259</v>
      </c>
      <c r="T65">
        <v>1.2</v>
      </c>
      <c r="U6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Loads</vt:lpstr>
      <vt:lpstr>Generators</vt:lpstr>
      <vt:lpstr>PV</vt:lpstr>
      <vt:lpstr>StatGen</vt:lpstr>
      <vt:lpstr>ExportConfig</vt:lpstr>
      <vt:lpstr>Zakresy</vt:lpstr>
      <vt:lpstr>Do podmianki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PrzepiĂłrka</cp:lastModifiedBy>
  <dcterms:created xsi:type="dcterms:W3CDTF">2026-01-19T09:33:19Z</dcterms:created>
  <dcterms:modified xsi:type="dcterms:W3CDTF">2026-01-28T12:10:52Z</dcterms:modified>
</cp:coreProperties>
</file>